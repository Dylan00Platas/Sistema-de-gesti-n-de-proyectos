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joli\Downloads\"/>
    </mc:Choice>
  </mc:AlternateContent>
  <xr:revisionPtr revIDLastSave="0" documentId="13_ncr:1_{B31E7500-46CE-475F-834C-3FA7BDE76B4B}" xr6:coauthVersionLast="47" xr6:coauthVersionMax="47" xr10:uidLastSave="{00000000-0000-0000-0000-000000000000}"/>
  <bookViews>
    <workbookView xWindow="9510" yWindow="0" windowWidth="9780" windowHeight="10170" firstSheet="2" activeTab="4" xr2:uid="{3D0ABF8E-56EE-446B-B3AF-AA002F38654C}"/>
  </bookViews>
  <sheets>
    <sheet name="enero" sheetId="17" r:id="rId1"/>
    <sheet name="febrero" sheetId="18" r:id="rId2"/>
    <sheet name="marzo" sheetId="19" r:id="rId3"/>
    <sheet name="abril" sheetId="20" r:id="rId4"/>
    <sheet name="Hoja1" sheetId="2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7" i="21" l="1"/>
  <c r="L67" i="21"/>
  <c r="K67" i="21"/>
  <c r="J67" i="21"/>
  <c r="I67" i="21"/>
  <c r="H67" i="21"/>
  <c r="G67" i="21"/>
  <c r="F67" i="21"/>
  <c r="E67" i="21"/>
  <c r="D67" i="21"/>
  <c r="J64" i="21"/>
  <c r="M61" i="21"/>
  <c r="L61" i="21"/>
  <c r="K61" i="21"/>
  <c r="J61" i="21"/>
  <c r="I61" i="21"/>
  <c r="H61" i="21"/>
  <c r="G61" i="21"/>
  <c r="F61" i="21"/>
  <c r="E61" i="21"/>
  <c r="D61" i="21"/>
  <c r="L57" i="21"/>
  <c r="K57" i="21"/>
  <c r="J57" i="21"/>
  <c r="H57" i="21"/>
  <c r="E57" i="21"/>
  <c r="D57" i="21"/>
  <c r="J53" i="21"/>
  <c r="H53" i="21"/>
  <c r="F53" i="21"/>
  <c r="G50" i="21"/>
  <c r="F50" i="21"/>
  <c r="M43" i="21"/>
  <c r="L43" i="21"/>
  <c r="K43" i="21"/>
  <c r="J43" i="21"/>
  <c r="I43" i="21"/>
  <c r="H43" i="21"/>
  <c r="G43" i="21"/>
  <c r="F43" i="21"/>
  <c r="E43" i="21"/>
  <c r="M39" i="21"/>
  <c r="L39" i="21"/>
  <c r="I39" i="21"/>
  <c r="H39" i="21"/>
  <c r="G39" i="21"/>
  <c r="F39" i="21"/>
  <c r="E39" i="21"/>
  <c r="D39" i="21"/>
  <c r="D16" i="21"/>
  <c r="L49" i="20"/>
  <c r="D49" i="20"/>
  <c r="E49" i="20"/>
  <c r="D52" i="20"/>
  <c r="E52" i="20"/>
  <c r="F36" i="20"/>
  <c r="F33" i="20"/>
  <c r="M24" i="20"/>
  <c r="K24" i="20"/>
  <c r="L24" i="20"/>
  <c r="H24" i="20"/>
  <c r="F24" i="20"/>
  <c r="M52" i="20" l="1"/>
  <c r="L52" i="20"/>
  <c r="K52" i="20"/>
  <c r="J52" i="20"/>
  <c r="I52" i="20"/>
  <c r="H52" i="20"/>
  <c r="G52" i="20"/>
  <c r="F52" i="20"/>
  <c r="K49" i="20"/>
  <c r="J49" i="20"/>
  <c r="H49" i="20"/>
  <c r="M46" i="20"/>
  <c r="L46" i="20"/>
  <c r="K46" i="20"/>
  <c r="J46" i="20"/>
  <c r="I46" i="20"/>
  <c r="H46" i="20"/>
  <c r="G46" i="20"/>
  <c r="F46" i="20"/>
  <c r="E46" i="20"/>
  <c r="D46" i="20"/>
  <c r="M39" i="20"/>
  <c r="L39" i="20"/>
  <c r="I39" i="20"/>
  <c r="H39" i="20"/>
  <c r="G39" i="20"/>
  <c r="F39" i="20"/>
  <c r="E39" i="20"/>
  <c r="D39" i="20"/>
  <c r="J36" i="20"/>
  <c r="H36" i="20"/>
  <c r="G33" i="20"/>
  <c r="J30" i="20"/>
  <c r="J24" i="20"/>
  <c r="I24" i="20"/>
  <c r="G24" i="20"/>
  <c r="E24" i="20"/>
  <c r="D12" i="20"/>
  <c r="D38" i="19"/>
  <c r="M39" i="19"/>
  <c r="I39" i="19"/>
  <c r="H39" i="19"/>
  <c r="L39" i="19"/>
  <c r="F39" i="19"/>
  <c r="G39" i="19"/>
  <c r="H36" i="19"/>
  <c r="J36" i="19"/>
  <c r="L36" i="19"/>
  <c r="E52" i="19"/>
  <c r="F52" i="19"/>
  <c r="G52" i="19"/>
  <c r="H52" i="19"/>
  <c r="I52" i="19"/>
  <c r="J52" i="19"/>
  <c r="K52" i="19"/>
  <c r="L52" i="19"/>
  <c r="M52" i="19"/>
  <c r="D52" i="19"/>
  <c r="H49" i="19"/>
  <c r="I49" i="19"/>
  <c r="J49" i="19"/>
  <c r="K49" i="19"/>
  <c r="E49" i="19"/>
  <c r="D49" i="19"/>
  <c r="L46" i="19"/>
  <c r="M46" i="19"/>
  <c r="J46" i="19"/>
  <c r="K46" i="19"/>
  <c r="I46" i="19"/>
  <c r="H46" i="19"/>
  <c r="F46" i="19"/>
  <c r="G46" i="19"/>
  <c r="E46" i="19"/>
  <c r="D46" i="19"/>
  <c r="G33" i="19"/>
  <c r="J30" i="19"/>
  <c r="M24" i="19"/>
  <c r="I24" i="19"/>
  <c r="G24" i="19"/>
  <c r="F24" i="19"/>
  <c r="E24" i="19"/>
  <c r="J24" i="19"/>
  <c r="D12" i="19"/>
  <c r="E39" i="19"/>
  <c r="D39" i="19"/>
  <c r="G30" i="18"/>
  <c r="E52" i="18" l="1"/>
  <c r="D39" i="18"/>
  <c r="M39" i="18"/>
  <c r="K39" i="18"/>
  <c r="J39" i="18"/>
  <c r="I39" i="18"/>
  <c r="G39" i="18"/>
  <c r="H39" i="18"/>
  <c r="F33" i="18"/>
  <c r="F30" i="18"/>
  <c r="L24" i="18"/>
  <c r="J24" i="18"/>
  <c r="H24" i="18"/>
  <c r="F24" i="18"/>
  <c r="G24" i="18"/>
  <c r="I24" i="18"/>
  <c r="K24" i="18"/>
  <c r="M24" i="18"/>
  <c r="E24" i="18"/>
  <c r="D24" i="18"/>
  <c r="M52" i="18"/>
  <c r="L52" i="18"/>
  <c r="K52" i="18"/>
  <c r="J52" i="18"/>
  <c r="I52" i="18"/>
  <c r="H52" i="18"/>
  <c r="G52" i="18"/>
  <c r="F52" i="18"/>
  <c r="D52" i="18"/>
  <c r="L49" i="18"/>
  <c r="K49" i="18"/>
  <c r="J49" i="18"/>
  <c r="I49" i="18"/>
  <c r="H49" i="18"/>
  <c r="E49" i="18"/>
  <c r="D49" i="18"/>
  <c r="M46" i="18"/>
  <c r="L46" i="18"/>
  <c r="K46" i="18"/>
  <c r="J46" i="18"/>
  <c r="I46" i="18"/>
  <c r="H46" i="18"/>
  <c r="G46" i="18"/>
  <c r="F46" i="18"/>
  <c r="E46" i="18"/>
  <c r="D46" i="18"/>
  <c r="E39" i="18"/>
  <c r="L36" i="18"/>
  <c r="K36" i="18"/>
  <c r="J36" i="18"/>
  <c r="G33" i="18"/>
  <c r="M30" i="18"/>
  <c r="K30" i="18"/>
  <c r="J30" i="18"/>
  <c r="E49" i="17"/>
  <c r="G49" i="17"/>
  <c r="H49" i="17"/>
  <c r="I49" i="17"/>
  <c r="J49" i="17"/>
  <c r="K49" i="17"/>
  <c r="L49" i="17"/>
  <c r="D49" i="17"/>
  <c r="E39" i="17"/>
  <c r="M30" i="17" l="1"/>
  <c r="K30" i="17"/>
  <c r="F30" i="17"/>
  <c r="F52" i="17"/>
  <c r="G52" i="17"/>
  <c r="H52" i="17"/>
  <c r="I52" i="17"/>
  <c r="J52" i="17"/>
  <c r="K52" i="17"/>
  <c r="L52" i="17"/>
  <c r="M52" i="17"/>
  <c r="D52" i="17"/>
  <c r="E46" i="17"/>
  <c r="F46" i="17"/>
  <c r="G46" i="17"/>
  <c r="H46" i="17"/>
  <c r="I46" i="17"/>
  <c r="J46" i="17"/>
  <c r="K46" i="17"/>
  <c r="L46" i="17"/>
  <c r="M46" i="17"/>
  <c r="D46" i="17"/>
  <c r="K36" i="17"/>
  <c r="L36" i="17"/>
  <c r="J36" i="17"/>
  <c r="G33" i="17"/>
  <c r="J30" i="17"/>
  <c r="M24" i="17"/>
  <c r="K24" i="17"/>
  <c r="F24" i="17"/>
  <c r="E24" i="17"/>
  <c r="G24" i="17"/>
  <c r="H24" i="17"/>
  <c r="I24" i="17"/>
  <c r="J24" i="17"/>
  <c r="L24" i="17"/>
  <c r="D24" i="17"/>
</calcChain>
</file>

<file path=xl/sharedStrings.xml><?xml version="1.0" encoding="utf-8"?>
<sst xmlns="http://schemas.openxmlformats.org/spreadsheetml/2006/main" count="430" uniqueCount="45">
  <si>
    <t>PR</t>
  </si>
  <si>
    <t>XL</t>
  </si>
  <si>
    <t>TZ</t>
  </si>
  <si>
    <t>VR</t>
  </si>
  <si>
    <t>PP</t>
  </si>
  <si>
    <t>LT</t>
  </si>
  <si>
    <t>CZ</t>
  </si>
  <si>
    <t>OR</t>
  </si>
  <si>
    <t>CR</t>
  </si>
  <si>
    <t>TA</t>
  </si>
  <si>
    <t>Meta</t>
  </si>
  <si>
    <t>Real</t>
  </si>
  <si>
    <t>TDP</t>
  </si>
  <si>
    <t>DAC</t>
  </si>
  <si>
    <t>M Margen</t>
  </si>
  <si>
    <t>IMU</t>
  </si>
  <si>
    <t>Indicador</t>
  </si>
  <si>
    <t>Margen</t>
  </si>
  <si>
    <t>Control Presupuestal</t>
  </si>
  <si>
    <t>Desempeño Ambiental</t>
  </si>
  <si>
    <t>DIV</t>
  </si>
  <si>
    <t>Enero</t>
  </si>
  <si>
    <t>DTI</t>
  </si>
  <si>
    <t>REE</t>
  </si>
  <si>
    <t>% SE Certificadas</t>
  </si>
  <si>
    <t>N/A</t>
  </si>
  <si>
    <t>10% verde
-20% + 20% amarillo</t>
  </si>
  <si>
    <t>Desempeño Seguridad</t>
  </si>
  <si>
    <t>VS</t>
  </si>
  <si>
    <t>110% a 120% amarillo</t>
  </si>
  <si>
    <t>Requisitos Legales Seg</t>
  </si>
  <si>
    <t>Correcciones SST</t>
  </si>
  <si>
    <t>Afectación economica</t>
  </si>
  <si>
    <t>Verde +90 amarillo &gt;80 &amp; &lt;90</t>
  </si>
  <si>
    <t>PERDIDASDIS</t>
  </si>
  <si>
    <t>TIU</t>
  </si>
  <si>
    <t>ICC</t>
  </si>
  <si>
    <t>NSS</t>
  </si>
  <si>
    <t>EAS</t>
  </si>
  <si>
    <t>Programa SST</t>
  </si>
  <si>
    <t>Febrero</t>
  </si>
  <si>
    <t>IMUse</t>
  </si>
  <si>
    <t>marzo</t>
  </si>
  <si>
    <t>abril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</si>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</sst>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0.000"/>
    <numFmt numFmtId="165" formatCode="0.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6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CCCCCC"/>
      </right>
      <top/>
      <bottom style="dotted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/>
    <xf numFmtId="0" fontId="0" fillId="7" borderId="1" xfId="0" applyFill="1" applyBorder="1"/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2" fontId="0" fillId="3" borderId="1" xfId="0" applyNumberFormat="1" applyFill="1" applyBorder="1"/>
    <xf numFmtId="2" fontId="0" fillId="7" borderId="1" xfId="0" applyNumberFormat="1" applyFill="1" applyBorder="1"/>
    <xf numFmtId="0" fontId="0" fillId="0" borderId="4" xfId="0" applyBorder="1" applyAlignment="1">
      <alignment horizontal="center" vertical="center"/>
    </xf>
    <xf numFmtId="0" fontId="0" fillId="0" borderId="2" xfId="0" applyBorder="1"/>
    <xf numFmtId="44" fontId="0" fillId="0" borderId="1" xfId="1" applyFont="1" applyBorder="1"/>
    <xf numFmtId="44" fontId="0" fillId="0" borderId="1" xfId="1" applyFont="1" applyBorder="1" applyAlignment="1">
      <alignment horizontal="center" vertical="center"/>
    </xf>
    <xf numFmtId="4" fontId="4" fillId="5" borderId="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8" fontId="4" fillId="5" borderId="1" xfId="0" applyNumberFormat="1" applyFont="1" applyFill="1" applyBorder="1"/>
    <xf numFmtId="2" fontId="0" fillId="5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0" fillId="0" borderId="9" xfId="0" applyBorder="1"/>
    <xf numFmtId="164" fontId="0" fillId="7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44" fontId="0" fillId="5" borderId="1" xfId="1" applyFont="1" applyFill="1" applyBorder="1" applyAlignment="1">
      <alignment horizontal="center" vertical="center"/>
    </xf>
    <xf numFmtId="44" fontId="0" fillId="7" borderId="1" xfId="1" applyFont="1" applyFill="1" applyBorder="1" applyAlignment="1">
      <alignment horizontal="center" vertical="center"/>
    </xf>
    <xf numFmtId="44" fontId="0" fillId="7" borderId="1" xfId="1" applyFont="1" applyFill="1" applyBorder="1"/>
    <xf numFmtId="0" fontId="0" fillId="0" borderId="2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5" fillId="8" borderId="10" xfId="0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2" fontId="0" fillId="5" borderId="1" xfId="0" applyNumberFormat="1" applyFill="1" applyBorder="1"/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8" fontId="4" fillId="7" borderId="1" xfId="0" applyNumberFormat="1" applyFont="1" applyFill="1" applyBorder="1"/>
    <xf numFmtId="9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9" fontId="0" fillId="0" borderId="4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 wrapText="1"/>
    </xf>
    <xf numFmtId="9" fontId="0" fillId="0" borderId="3" xfId="0" applyNumberFormat="1" applyBorder="1" applyAlignment="1">
      <alignment horizontal="center" vertical="center" wrapText="1"/>
    </xf>
    <xf numFmtId="9" fontId="0" fillId="0" borderId="4" xfId="0" applyNumberFormat="1" applyBorder="1" applyAlignment="1">
      <alignment horizontal="center" vertical="center" wrapText="1"/>
    </xf>
    <xf numFmtId="9" fontId="0" fillId="0" borderId="3" xfId="0" applyNumberForma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D9E1-4A9B-4CE8-953A-CC231BD38DCE}">
  <dimension ref="A1:N52"/>
  <sheetViews>
    <sheetView topLeftCell="B1" zoomScaleNormal="100" workbookViewId="0">
      <selection activeCell="F31" sqref="F31"/>
    </sheetView>
  </sheetViews>
  <sheetFormatPr baseColWidth="10" defaultRowHeight="14.5" x14ac:dyDescent="0.35"/>
  <cols>
    <col min="1" max="1" width="11.54296875" style="7" customWidth="1"/>
    <col min="2" max="2" width="13.7265625" customWidth="1"/>
    <col min="3" max="3" width="8.7265625" customWidth="1"/>
    <col min="4" max="5" width="14.1796875" customWidth="1"/>
    <col min="6" max="6" width="13.453125" customWidth="1"/>
    <col min="7" max="8" width="11.81640625" customWidth="1"/>
    <col min="9" max="9" width="9.81640625" customWidth="1"/>
    <col min="10" max="10" width="13" customWidth="1"/>
    <col min="11" max="11" width="13.7265625" customWidth="1"/>
    <col min="12" max="12" width="13.1796875" customWidth="1"/>
    <col min="13" max="13" width="12.7265625" customWidth="1"/>
    <col min="14" max="14" width="10.81640625" customWidth="1"/>
  </cols>
  <sheetData>
    <row r="1" spans="1:14" ht="17.5" customHeight="1" x14ac:dyDescent="0.35">
      <c r="B1" s="82" t="s">
        <v>21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4"/>
    </row>
    <row r="2" spans="1:14" ht="16" customHeight="1" x14ac:dyDescent="0.35">
      <c r="A2" s="5" t="s">
        <v>17</v>
      </c>
      <c r="B2" s="5" t="s">
        <v>16</v>
      </c>
      <c r="C2" s="6"/>
      <c r="D2" s="1" t="s">
        <v>20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</row>
    <row r="3" spans="1:14" x14ac:dyDescent="0.35">
      <c r="A3" s="73"/>
      <c r="B3" s="85" t="s">
        <v>9</v>
      </c>
      <c r="C3" s="41" t="s">
        <v>10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4" x14ac:dyDescent="0.35">
      <c r="A4" s="68"/>
      <c r="B4" s="86"/>
      <c r="C4" s="41" t="s">
        <v>11</v>
      </c>
      <c r="D4" s="10">
        <v>0.29050234537068537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4">
        <v>1.9765999999999999</v>
      </c>
      <c r="L4" s="15">
        <v>0</v>
      </c>
      <c r="M4" s="15">
        <v>0</v>
      </c>
    </row>
    <row r="5" spans="1:14" x14ac:dyDescent="0.35">
      <c r="A5" s="72"/>
      <c r="B5" s="87" t="s">
        <v>12</v>
      </c>
      <c r="C5" s="41" t="s">
        <v>10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4" x14ac:dyDescent="0.35">
      <c r="A6" s="68"/>
      <c r="B6" s="86"/>
      <c r="C6" s="41" t="s">
        <v>11</v>
      </c>
      <c r="D6" s="12">
        <v>9.8770797426033017</v>
      </c>
      <c r="E6" s="12">
        <v>73.024000000000001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2">
        <v>11.8606</v>
      </c>
      <c r="L6" s="11">
        <v>0</v>
      </c>
      <c r="M6" s="11">
        <v>0</v>
      </c>
    </row>
    <row r="7" spans="1:14" x14ac:dyDescent="0.35">
      <c r="A7" s="72" t="s">
        <v>28</v>
      </c>
      <c r="B7" s="72" t="s">
        <v>22</v>
      </c>
      <c r="C7" s="3" t="s">
        <v>10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4" x14ac:dyDescent="0.35">
      <c r="A8" s="73"/>
      <c r="B8" s="73"/>
      <c r="C8" s="3" t="s">
        <v>11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4" x14ac:dyDescent="0.35">
      <c r="A9" s="68"/>
      <c r="B9" s="68"/>
      <c r="C9" s="3" t="s">
        <v>28</v>
      </c>
      <c r="D9" s="15"/>
      <c r="E9" s="15"/>
      <c r="F9" s="15"/>
      <c r="G9" s="15"/>
      <c r="H9" s="15"/>
      <c r="I9" s="15"/>
      <c r="J9" s="15"/>
      <c r="K9" s="14"/>
      <c r="L9" s="15"/>
      <c r="M9" s="15"/>
    </row>
    <row r="10" spans="1:14" x14ac:dyDescent="0.35">
      <c r="A10" s="67">
        <v>-0.05</v>
      </c>
      <c r="B10" s="69" t="s">
        <v>27</v>
      </c>
      <c r="C10" s="3" t="s">
        <v>10</v>
      </c>
      <c r="D10" s="3">
        <v>90</v>
      </c>
      <c r="E10" s="3">
        <v>90</v>
      </c>
      <c r="F10" s="3">
        <v>90</v>
      </c>
      <c r="G10" s="3">
        <v>90</v>
      </c>
      <c r="H10" s="3">
        <v>90</v>
      </c>
      <c r="I10" s="3">
        <v>90</v>
      </c>
      <c r="J10" s="3">
        <v>90</v>
      </c>
      <c r="K10" s="3">
        <v>90</v>
      </c>
      <c r="L10" s="3">
        <v>90</v>
      </c>
      <c r="M10" s="3">
        <v>90</v>
      </c>
    </row>
    <row r="11" spans="1:14" x14ac:dyDescent="0.35">
      <c r="A11" s="81"/>
      <c r="B11" s="76"/>
      <c r="C11" s="3" t="s">
        <v>11</v>
      </c>
      <c r="D11" s="28">
        <v>87</v>
      </c>
      <c r="E11" s="28">
        <v>71.849999999999994</v>
      </c>
      <c r="F11" s="29">
        <v>96.63</v>
      </c>
      <c r="G11" s="29">
        <v>93.79</v>
      </c>
      <c r="H11" s="29">
        <v>94.56</v>
      </c>
      <c r="I11" s="29">
        <v>91.33</v>
      </c>
      <c r="J11" s="29">
        <v>92.94</v>
      </c>
      <c r="K11" s="28">
        <v>40.96</v>
      </c>
      <c r="L11" s="29">
        <v>95.77</v>
      </c>
      <c r="M11" s="29">
        <v>98.4</v>
      </c>
    </row>
    <row r="12" spans="1:14" x14ac:dyDescent="0.35">
      <c r="A12" s="77"/>
      <c r="B12" s="70"/>
      <c r="C12" s="19" t="s">
        <v>14</v>
      </c>
      <c r="D12" s="3"/>
      <c r="E12" s="3"/>
      <c r="F12" s="3"/>
      <c r="G12" s="3"/>
      <c r="H12" s="30"/>
      <c r="I12" s="3"/>
      <c r="J12" s="3"/>
      <c r="K12" s="3"/>
      <c r="L12" s="3"/>
      <c r="M12" s="3"/>
    </row>
    <row r="13" spans="1:14" s="2" customFormat="1" x14ac:dyDescent="0.35">
      <c r="A13" s="67"/>
      <c r="B13" s="69" t="s">
        <v>30</v>
      </c>
      <c r="C13" s="3" t="s">
        <v>10</v>
      </c>
      <c r="D13" s="3">
        <v>95</v>
      </c>
      <c r="E13" s="3">
        <v>95</v>
      </c>
      <c r="F13" s="3">
        <v>95</v>
      </c>
      <c r="G13" s="3">
        <v>95</v>
      </c>
      <c r="H13" s="3">
        <v>95</v>
      </c>
      <c r="I13" s="3">
        <v>95</v>
      </c>
      <c r="J13" s="3">
        <v>95</v>
      </c>
      <c r="K13" s="3">
        <v>95</v>
      </c>
      <c r="L13" s="3">
        <v>95</v>
      </c>
      <c r="M13" s="3">
        <v>95</v>
      </c>
      <c r="N13" s="27"/>
    </row>
    <row r="14" spans="1:14" s="2" customFormat="1" x14ac:dyDescent="0.35">
      <c r="A14" s="77"/>
      <c r="B14" s="70"/>
      <c r="C14" s="3" t="s">
        <v>11</v>
      </c>
      <c r="D14" s="12">
        <v>92.19</v>
      </c>
      <c r="E14" s="25">
        <v>96</v>
      </c>
      <c r="F14" s="25">
        <v>97</v>
      </c>
      <c r="G14" s="11">
        <v>95</v>
      </c>
      <c r="H14" s="12">
        <v>88</v>
      </c>
      <c r="I14" s="26">
        <v>94</v>
      </c>
      <c r="J14" s="26">
        <v>84.92</v>
      </c>
      <c r="K14" s="25">
        <v>95</v>
      </c>
      <c r="L14" s="26">
        <v>86</v>
      </c>
      <c r="M14" s="12">
        <v>92</v>
      </c>
      <c r="N14" s="27"/>
    </row>
    <row r="15" spans="1:14" s="2" customFormat="1" x14ac:dyDescent="0.35">
      <c r="A15" s="67"/>
      <c r="B15" s="69" t="s">
        <v>39</v>
      </c>
      <c r="C15" s="3" t="s">
        <v>10</v>
      </c>
      <c r="D15" s="3">
        <v>80</v>
      </c>
      <c r="E15" s="3">
        <v>80</v>
      </c>
      <c r="F15" s="3">
        <v>80</v>
      </c>
      <c r="G15" s="3">
        <v>80</v>
      </c>
      <c r="H15" s="3">
        <v>80</v>
      </c>
      <c r="I15" s="3">
        <v>80</v>
      </c>
      <c r="J15" s="3">
        <v>80</v>
      </c>
      <c r="K15" s="3">
        <v>80</v>
      </c>
      <c r="L15" s="3">
        <v>80</v>
      </c>
      <c r="M15" s="3">
        <v>80</v>
      </c>
    </row>
    <row r="16" spans="1:14" s="2" customFormat="1" x14ac:dyDescent="0.35">
      <c r="A16" s="77"/>
      <c r="B16" s="70"/>
      <c r="C16" s="3" t="s">
        <v>11</v>
      </c>
      <c r="D16" s="11">
        <v>88.55</v>
      </c>
      <c r="E16" s="25">
        <v>92.17</v>
      </c>
      <c r="F16" s="25">
        <v>90.78</v>
      </c>
      <c r="G16" s="11">
        <v>82.64</v>
      </c>
      <c r="H16" s="11">
        <v>89.67</v>
      </c>
      <c r="I16" s="32">
        <v>75.099999999999994</v>
      </c>
      <c r="J16" s="25">
        <v>86.53</v>
      </c>
      <c r="K16" s="32">
        <v>73.2</v>
      </c>
      <c r="L16" s="25">
        <v>95.23</v>
      </c>
      <c r="M16" s="11">
        <v>100</v>
      </c>
    </row>
    <row r="17" spans="1:14" x14ac:dyDescent="0.35">
      <c r="A17" s="74" t="s">
        <v>33</v>
      </c>
      <c r="B17" s="75" t="s">
        <v>31</v>
      </c>
      <c r="C17" s="18" t="s">
        <v>10</v>
      </c>
      <c r="D17" s="18">
        <v>90</v>
      </c>
      <c r="E17" s="18">
        <v>90</v>
      </c>
      <c r="F17" s="18">
        <v>90</v>
      </c>
      <c r="G17" s="18">
        <v>90</v>
      </c>
      <c r="H17" s="18">
        <v>90</v>
      </c>
      <c r="I17" s="18">
        <v>90</v>
      </c>
      <c r="J17" s="18">
        <v>90</v>
      </c>
      <c r="K17" s="18">
        <v>90</v>
      </c>
      <c r="L17" s="18">
        <v>90</v>
      </c>
      <c r="M17" s="18">
        <v>90</v>
      </c>
    </row>
    <row r="18" spans="1:14" x14ac:dyDescent="0.35">
      <c r="A18" s="74"/>
      <c r="B18" s="75"/>
      <c r="C18" s="3" t="s">
        <v>11</v>
      </c>
      <c r="D18" s="12">
        <v>18.73</v>
      </c>
      <c r="E18" s="12">
        <v>14.29</v>
      </c>
      <c r="F18" s="12">
        <v>35.29</v>
      </c>
      <c r="G18" s="12">
        <v>4.24</v>
      </c>
      <c r="H18" s="12">
        <v>20.51</v>
      </c>
      <c r="I18" s="12">
        <v>25</v>
      </c>
      <c r="J18" s="12">
        <v>37.5</v>
      </c>
      <c r="K18" s="12">
        <v>23.75</v>
      </c>
      <c r="L18" s="12">
        <v>11.54</v>
      </c>
      <c r="M18" s="12">
        <v>47.22</v>
      </c>
    </row>
    <row r="19" spans="1:14" x14ac:dyDescent="0.35">
      <c r="A19" s="40"/>
      <c r="B19" s="39"/>
      <c r="C19" s="3"/>
      <c r="D19" s="12"/>
      <c r="E19" s="12"/>
      <c r="F19" s="48"/>
      <c r="G19" s="12"/>
      <c r="H19" s="12"/>
      <c r="I19" s="12"/>
      <c r="J19" s="12"/>
      <c r="K19" s="12"/>
      <c r="L19" s="12"/>
      <c r="M19" s="12"/>
    </row>
    <row r="20" spans="1:14" x14ac:dyDescent="0.35">
      <c r="A20" s="67"/>
      <c r="B20" s="69" t="s">
        <v>32</v>
      </c>
      <c r="C20" s="3" t="s">
        <v>10</v>
      </c>
      <c r="D20" s="20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</row>
    <row r="21" spans="1:14" x14ac:dyDescent="0.35">
      <c r="A21" s="77"/>
      <c r="B21" s="70"/>
      <c r="C21" s="3" t="s">
        <v>11</v>
      </c>
      <c r="D21" s="38">
        <v>297245.87</v>
      </c>
      <c r="E21" s="24">
        <v>261533.31</v>
      </c>
      <c r="F21" s="24">
        <v>0</v>
      </c>
      <c r="G21" s="23">
        <v>0</v>
      </c>
      <c r="H21" s="23">
        <v>0</v>
      </c>
      <c r="I21" s="23">
        <v>0</v>
      </c>
      <c r="J21" s="22">
        <v>0</v>
      </c>
      <c r="K21" s="37">
        <v>35712.559999999998</v>
      </c>
      <c r="L21" s="36">
        <v>0</v>
      </c>
      <c r="M21" s="23">
        <v>0</v>
      </c>
    </row>
    <row r="22" spans="1:14" x14ac:dyDescent="0.35">
      <c r="A22" s="78" t="s">
        <v>29</v>
      </c>
      <c r="B22" s="72" t="s">
        <v>13</v>
      </c>
      <c r="C22" s="2" t="s">
        <v>10</v>
      </c>
      <c r="D22" s="50">
        <v>1.1325904026033022</v>
      </c>
      <c r="E22" s="50">
        <v>1.2583753711655425</v>
      </c>
      <c r="F22" s="50">
        <v>0.89761685275641045</v>
      </c>
      <c r="G22" s="50">
        <v>0.84430894876079021</v>
      </c>
      <c r="H22" s="50">
        <v>1.427075469813057</v>
      </c>
      <c r="I22" s="50">
        <v>1.057127449590072</v>
      </c>
      <c r="J22" s="50">
        <v>1.110958246251891</v>
      </c>
      <c r="K22" s="50">
        <v>1.1895930644779733</v>
      </c>
      <c r="L22" s="50">
        <v>1.9641911825911464</v>
      </c>
      <c r="M22" s="50">
        <v>1.1296093877184881</v>
      </c>
      <c r="N22" s="51"/>
    </row>
    <row r="23" spans="1:14" x14ac:dyDescent="0.35">
      <c r="A23" s="79"/>
      <c r="B23" s="73"/>
      <c r="C23" s="2" t="s">
        <v>11</v>
      </c>
      <c r="D23" s="52">
        <v>1.2548354125501884</v>
      </c>
      <c r="E23" s="50">
        <v>1.2984229406854229</v>
      </c>
      <c r="F23" s="50">
        <v>0.88768915306148932</v>
      </c>
      <c r="G23" s="50">
        <v>0.8468183477308675</v>
      </c>
      <c r="H23" s="50">
        <v>1.5244119902280711</v>
      </c>
      <c r="I23" s="50">
        <v>1.110688745812644</v>
      </c>
      <c r="J23" s="50">
        <v>1.1421620199894793</v>
      </c>
      <c r="K23" s="53">
        <v>1.5420258620689655</v>
      </c>
      <c r="L23" s="50">
        <v>2.0320540133066762</v>
      </c>
      <c r="M23" s="53">
        <v>1.3986244582626719</v>
      </c>
      <c r="N23" s="51"/>
    </row>
    <row r="24" spans="1:14" ht="15" thickBot="1" x14ac:dyDescent="0.4">
      <c r="A24" s="80"/>
      <c r="B24" s="68"/>
      <c r="C24" s="2" t="s">
        <v>14</v>
      </c>
      <c r="D24" s="25">
        <f>D22*1.1</f>
        <v>1.2458494428636326</v>
      </c>
      <c r="E24" s="25">
        <f t="shared" ref="E24:L24" si="0">E22*1.1</f>
        <v>1.3842129082820969</v>
      </c>
      <c r="F24" s="25">
        <f>F22*0.9</f>
        <v>0.80785516748076946</v>
      </c>
      <c r="G24" s="25">
        <f t="shared" si="0"/>
        <v>0.92873984363686934</v>
      </c>
      <c r="H24" s="25">
        <f t="shared" si="0"/>
        <v>1.5697830167943627</v>
      </c>
      <c r="I24" s="25">
        <f t="shared" si="0"/>
        <v>1.1628401945490794</v>
      </c>
      <c r="J24" s="25">
        <f t="shared" si="0"/>
        <v>1.2220540708770802</v>
      </c>
      <c r="K24" s="26">
        <f>K22*1.2</f>
        <v>1.4275116773735679</v>
      </c>
      <c r="L24" s="25">
        <f t="shared" si="0"/>
        <v>2.1606103008502613</v>
      </c>
      <c r="M24" s="26">
        <f>M22*1.2</f>
        <v>1.3555312652621856</v>
      </c>
      <c r="N24" s="51"/>
    </row>
    <row r="25" spans="1:14" x14ac:dyDescent="0.35">
      <c r="A25" s="63">
        <v>-0.03</v>
      </c>
      <c r="B25" s="66" t="s">
        <v>23</v>
      </c>
      <c r="C25" s="2" t="s">
        <v>10</v>
      </c>
      <c r="D25" s="50">
        <v>54.767300464000002</v>
      </c>
      <c r="E25" s="50">
        <v>64.811842338999995</v>
      </c>
      <c r="F25" s="50">
        <v>50.700244120999997</v>
      </c>
      <c r="G25" s="50">
        <v>41.95727986</v>
      </c>
      <c r="H25" s="50">
        <v>63.114019360999997</v>
      </c>
      <c r="I25" s="50">
        <v>46.942009083999999</v>
      </c>
      <c r="J25" s="50">
        <v>54.741144413999997</v>
      </c>
      <c r="K25" s="50">
        <v>58.487679174999997</v>
      </c>
      <c r="L25" s="50">
        <v>53.023886159</v>
      </c>
      <c r="M25" s="50">
        <v>51.443298968999997</v>
      </c>
    </row>
    <row r="26" spans="1:14" x14ac:dyDescent="0.35">
      <c r="A26" s="64"/>
      <c r="B26" s="64"/>
      <c r="C26" s="2" t="s">
        <v>11</v>
      </c>
      <c r="D26" s="52">
        <v>57.604392269000002</v>
      </c>
      <c r="E26" s="52">
        <v>65.283151599999997</v>
      </c>
      <c r="F26" s="52">
        <v>53.001671164999998</v>
      </c>
      <c r="G26" s="52">
        <v>48.451255298</v>
      </c>
      <c r="H26" s="52">
        <v>64.081486776000006</v>
      </c>
      <c r="I26" s="52">
        <v>49.184296388999996</v>
      </c>
      <c r="J26" s="52">
        <v>58.446866485000001</v>
      </c>
      <c r="K26" s="52">
        <v>64.103601780000005</v>
      </c>
      <c r="L26" s="52">
        <v>53.603375526999997</v>
      </c>
      <c r="M26" s="52">
        <v>52.503010492999998</v>
      </c>
    </row>
    <row r="27" spans="1:14" x14ac:dyDescent="0.35">
      <c r="A27" s="65"/>
      <c r="B27" s="65"/>
      <c r="C27" s="2" t="s">
        <v>14</v>
      </c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4" x14ac:dyDescent="0.35">
      <c r="A28" s="71">
        <v>7.0000000000000007E-2</v>
      </c>
      <c r="B28" s="72" t="s">
        <v>15</v>
      </c>
      <c r="C28" s="2" t="s">
        <v>10</v>
      </c>
      <c r="D28" s="50">
        <v>7.7566305729999998</v>
      </c>
      <c r="E28" s="50">
        <v>5.7324958090000004</v>
      </c>
      <c r="F28" s="50">
        <v>4.1799635610000001</v>
      </c>
      <c r="G28" s="50">
        <v>4.2893317560000002</v>
      </c>
      <c r="H28" s="50">
        <v>15.381528157</v>
      </c>
      <c r="I28" s="50">
        <v>7.5069689410000002</v>
      </c>
      <c r="J28" s="50">
        <v>8.1733796989999998</v>
      </c>
      <c r="K28" s="50">
        <v>11.663489460999999</v>
      </c>
      <c r="L28" s="50">
        <v>6.1188232950000003</v>
      </c>
      <c r="M28" s="50">
        <v>3.209550551</v>
      </c>
    </row>
    <row r="29" spans="1:14" x14ac:dyDescent="0.35">
      <c r="A29" s="71"/>
      <c r="B29" s="73"/>
      <c r="C29" s="2" t="s">
        <v>11</v>
      </c>
      <c r="D29" s="52">
        <v>7.4729999999999999</v>
      </c>
      <c r="E29" s="52">
        <v>5.1100000000000003</v>
      </c>
      <c r="F29" s="54">
        <v>4.2300000000000004</v>
      </c>
      <c r="G29" s="52">
        <v>3.83</v>
      </c>
      <c r="H29" s="52">
        <v>10.72</v>
      </c>
      <c r="I29" s="52">
        <v>7.25</v>
      </c>
      <c r="J29" s="53">
        <v>12.91</v>
      </c>
      <c r="K29" s="53">
        <v>14.83</v>
      </c>
      <c r="L29" s="52">
        <v>4.9800000000000004</v>
      </c>
      <c r="M29" s="53">
        <v>3.46</v>
      </c>
    </row>
    <row r="30" spans="1:14" x14ac:dyDescent="0.35">
      <c r="A30" s="71"/>
      <c r="B30" s="68"/>
      <c r="C30" s="2" t="s">
        <v>14</v>
      </c>
      <c r="D30" s="43"/>
      <c r="E30" s="43"/>
      <c r="F30" s="32">
        <f>F28*1.07</f>
        <v>4.4725610102700006</v>
      </c>
      <c r="G30" s="43"/>
      <c r="H30" s="43"/>
      <c r="I30" s="43"/>
      <c r="J30" s="26">
        <f>J28*1.07</f>
        <v>8.7455162779300011</v>
      </c>
      <c r="K30" s="26">
        <f>K28*1.07</f>
        <v>12.479933723269999</v>
      </c>
      <c r="L30" s="43"/>
      <c r="M30" s="26">
        <f t="shared" ref="M30" si="1">M28*1.07</f>
        <v>3.43421908957</v>
      </c>
    </row>
    <row r="31" spans="1:14" x14ac:dyDescent="0.35">
      <c r="A31" s="71">
        <v>0.1</v>
      </c>
      <c r="B31" s="69" t="s">
        <v>34</v>
      </c>
      <c r="C31" s="2" t="s">
        <v>10</v>
      </c>
      <c r="D31" s="8">
        <v>16.34</v>
      </c>
      <c r="E31" s="8">
        <v>10.38</v>
      </c>
      <c r="F31" s="8">
        <v>8.2200000000000006</v>
      </c>
      <c r="G31" s="8">
        <v>8.35</v>
      </c>
      <c r="H31" s="8">
        <v>20.85</v>
      </c>
      <c r="I31" s="8">
        <v>21.51</v>
      </c>
      <c r="J31" s="8">
        <v>12.28</v>
      </c>
      <c r="K31" s="8">
        <v>14.45</v>
      </c>
      <c r="L31" s="8">
        <v>7.94</v>
      </c>
      <c r="M31" s="8">
        <v>6.5</v>
      </c>
    </row>
    <row r="32" spans="1:14" x14ac:dyDescent="0.35">
      <c r="A32" s="71"/>
      <c r="B32" s="76"/>
      <c r="C32" s="2" t="s">
        <v>11</v>
      </c>
      <c r="D32" s="15">
        <v>16.2</v>
      </c>
      <c r="E32" s="15">
        <v>10.11</v>
      </c>
      <c r="F32" s="15">
        <v>8.15</v>
      </c>
      <c r="G32" s="13">
        <v>8.3699999999999992</v>
      </c>
      <c r="H32" s="15">
        <v>20.74</v>
      </c>
      <c r="I32" s="15">
        <v>21.4</v>
      </c>
      <c r="J32" s="15">
        <v>11.97</v>
      </c>
      <c r="K32" s="15">
        <v>14.2</v>
      </c>
      <c r="L32" s="15">
        <v>7.81</v>
      </c>
      <c r="M32" s="15">
        <v>6.4</v>
      </c>
    </row>
    <row r="33" spans="1:13" x14ac:dyDescent="0.35">
      <c r="A33" s="71"/>
      <c r="B33" s="70"/>
      <c r="C33" s="2" t="s">
        <v>14</v>
      </c>
      <c r="D33" s="3"/>
      <c r="E33" s="3"/>
      <c r="F33" s="3"/>
      <c r="G33" s="4">
        <f>G31*1.1</f>
        <v>9.1850000000000005</v>
      </c>
      <c r="H33" s="3"/>
      <c r="I33" s="3"/>
      <c r="J33" s="3"/>
      <c r="K33" s="3"/>
      <c r="L33" s="3"/>
      <c r="M33" s="3"/>
    </row>
    <row r="34" spans="1:13" x14ac:dyDescent="0.35">
      <c r="A34" s="71">
        <v>7.0000000000000007E-2</v>
      </c>
      <c r="B34" s="72" t="s">
        <v>35</v>
      </c>
      <c r="C34" s="2" t="s">
        <v>10</v>
      </c>
      <c r="D34" s="45">
        <v>0.99899989700000003</v>
      </c>
      <c r="E34" s="45">
        <v>1.2238722150000001</v>
      </c>
      <c r="F34" s="45">
        <v>0.38203016200000001</v>
      </c>
      <c r="G34" s="45">
        <v>0.68906589299999998</v>
      </c>
      <c r="H34" s="45">
        <v>1.098823586</v>
      </c>
      <c r="I34" s="45">
        <v>1.1276358399999999</v>
      </c>
      <c r="J34" s="45">
        <v>0.31714788300000002</v>
      </c>
      <c r="K34" s="45">
        <v>2.489224412</v>
      </c>
      <c r="L34" s="45">
        <v>0.131403191</v>
      </c>
      <c r="M34" s="45">
        <v>0.169802919</v>
      </c>
    </row>
    <row r="35" spans="1:13" x14ac:dyDescent="0.35">
      <c r="A35" s="71"/>
      <c r="B35" s="73"/>
      <c r="C35" s="2" t="s">
        <v>11</v>
      </c>
      <c r="D35" s="46">
        <v>0.81756316799999995</v>
      </c>
      <c r="E35" s="46">
        <v>0.93278285100000002</v>
      </c>
      <c r="F35" s="46">
        <v>0.348184461</v>
      </c>
      <c r="G35" s="46">
        <v>0.52920718899999997</v>
      </c>
      <c r="H35" s="46">
        <v>0.77326578599999996</v>
      </c>
      <c r="I35" s="46">
        <v>0.29755565299999998</v>
      </c>
      <c r="J35" s="35">
        <v>0.34791899999999998</v>
      </c>
      <c r="K35" s="34">
        <v>2.5654264489999998</v>
      </c>
      <c r="L35" s="35">
        <v>0.490001609</v>
      </c>
      <c r="M35" s="46">
        <v>0.11293975000000001</v>
      </c>
    </row>
    <row r="36" spans="1:13" x14ac:dyDescent="0.35">
      <c r="A36" s="71"/>
      <c r="B36" s="68"/>
      <c r="C36" s="2" t="s">
        <v>14</v>
      </c>
      <c r="D36" s="44"/>
      <c r="E36" s="44"/>
      <c r="F36" s="44"/>
      <c r="G36" s="44"/>
      <c r="H36" s="44"/>
      <c r="I36" s="44"/>
      <c r="J36" s="31">
        <f>J34*1.07</f>
        <v>0.33934823481000004</v>
      </c>
      <c r="K36" s="33">
        <f t="shared" ref="K36:L36" si="2">K34*1.07</f>
        <v>2.66347012084</v>
      </c>
      <c r="L36" s="31">
        <f t="shared" si="2"/>
        <v>0.14060141437000001</v>
      </c>
      <c r="M36" s="44"/>
    </row>
    <row r="37" spans="1:13" x14ac:dyDescent="0.35">
      <c r="A37" s="74" t="s">
        <v>26</v>
      </c>
      <c r="B37" s="75" t="s">
        <v>18</v>
      </c>
      <c r="C37" s="2" t="s">
        <v>10</v>
      </c>
      <c r="D37" s="3">
        <v>10</v>
      </c>
      <c r="E37" s="3">
        <v>10</v>
      </c>
      <c r="F37" s="3">
        <v>10</v>
      </c>
      <c r="G37" s="3">
        <v>10</v>
      </c>
      <c r="H37" s="3">
        <v>10</v>
      </c>
      <c r="I37" s="3">
        <v>10</v>
      </c>
      <c r="J37" s="3">
        <v>10</v>
      </c>
      <c r="K37" s="3">
        <v>10</v>
      </c>
      <c r="L37" s="3">
        <v>10</v>
      </c>
      <c r="M37" s="3">
        <v>10</v>
      </c>
    </row>
    <row r="38" spans="1:13" x14ac:dyDescent="0.35">
      <c r="A38" s="71"/>
      <c r="B38" s="75"/>
      <c r="C38" s="2" t="s">
        <v>11</v>
      </c>
      <c r="D38" s="11">
        <v>10</v>
      </c>
      <c r="E38" s="4">
        <v>12</v>
      </c>
      <c r="F38" s="4">
        <v>8</v>
      </c>
      <c r="G38" s="11">
        <v>9</v>
      </c>
      <c r="H38" s="4">
        <v>12</v>
      </c>
      <c r="I38" s="11">
        <v>10</v>
      </c>
      <c r="J38" s="4">
        <v>8</v>
      </c>
      <c r="K38" s="4">
        <v>12</v>
      </c>
      <c r="L38" s="4">
        <v>8</v>
      </c>
      <c r="M38" s="4">
        <v>8</v>
      </c>
    </row>
    <row r="39" spans="1:13" x14ac:dyDescent="0.35">
      <c r="A39" s="71"/>
      <c r="B39" s="75"/>
      <c r="C39" s="2" t="s">
        <v>14</v>
      </c>
      <c r="D39" s="8"/>
      <c r="E39" s="13">
        <f>E37*1.2</f>
        <v>12</v>
      </c>
      <c r="F39" s="13">
        <v>8</v>
      </c>
      <c r="G39" s="8"/>
      <c r="H39" s="13">
        <v>12</v>
      </c>
      <c r="I39" s="8"/>
      <c r="J39" s="13">
        <v>8</v>
      </c>
      <c r="K39" s="13">
        <v>12</v>
      </c>
      <c r="L39" s="13">
        <v>8</v>
      </c>
      <c r="M39" s="13">
        <v>8</v>
      </c>
    </row>
    <row r="40" spans="1:13" ht="20.149999999999999" customHeight="1" x14ac:dyDescent="0.35">
      <c r="A40" s="71" t="s">
        <v>25</v>
      </c>
      <c r="B40" s="75" t="s">
        <v>24</v>
      </c>
      <c r="C40" s="2" t="s">
        <v>10</v>
      </c>
      <c r="D40" s="3">
        <v>100</v>
      </c>
      <c r="E40" s="3">
        <v>100</v>
      </c>
      <c r="F40" s="3">
        <v>100</v>
      </c>
      <c r="G40" s="3">
        <v>100</v>
      </c>
      <c r="H40" s="3">
        <v>100</v>
      </c>
      <c r="I40" s="3">
        <v>100</v>
      </c>
      <c r="J40" s="3">
        <v>100</v>
      </c>
      <c r="K40" s="3">
        <v>100</v>
      </c>
      <c r="L40" s="3">
        <v>100</v>
      </c>
      <c r="M40" s="3">
        <v>100</v>
      </c>
    </row>
    <row r="41" spans="1:13" ht="20.149999999999999" customHeight="1" x14ac:dyDescent="0.35">
      <c r="A41" s="71"/>
      <c r="B41" s="75"/>
      <c r="C41" s="2" t="s">
        <v>11</v>
      </c>
      <c r="D41" s="11">
        <v>100</v>
      </c>
      <c r="E41" s="11">
        <v>100</v>
      </c>
      <c r="F41" s="11">
        <v>100</v>
      </c>
      <c r="G41" s="11">
        <v>100</v>
      </c>
      <c r="H41" s="11">
        <v>100</v>
      </c>
      <c r="I41" s="11">
        <v>100</v>
      </c>
      <c r="J41" s="11">
        <v>100</v>
      </c>
      <c r="K41" s="11">
        <v>100</v>
      </c>
      <c r="L41" s="11">
        <v>100</v>
      </c>
      <c r="M41" s="11">
        <v>100</v>
      </c>
    </row>
    <row r="42" spans="1:13" ht="20.149999999999999" customHeight="1" x14ac:dyDescent="0.35">
      <c r="A42" s="67">
        <v>0.05</v>
      </c>
      <c r="B42" s="69" t="s">
        <v>19</v>
      </c>
      <c r="C42" s="3" t="s">
        <v>10</v>
      </c>
      <c r="D42" s="3">
        <v>90</v>
      </c>
      <c r="E42" s="3">
        <v>90</v>
      </c>
      <c r="F42" s="3">
        <v>90</v>
      </c>
      <c r="G42" s="3">
        <v>90</v>
      </c>
      <c r="H42" s="3">
        <v>90</v>
      </c>
      <c r="I42" s="3">
        <v>90</v>
      </c>
      <c r="J42" s="3">
        <v>90</v>
      </c>
      <c r="K42" s="3">
        <v>90</v>
      </c>
      <c r="L42" s="3">
        <v>90</v>
      </c>
      <c r="M42" s="3">
        <v>90</v>
      </c>
    </row>
    <row r="43" spans="1:13" ht="20.149999999999999" customHeight="1" thickBot="1" x14ac:dyDescent="0.4">
      <c r="A43" s="68"/>
      <c r="B43" s="70"/>
      <c r="C43" s="3" t="s">
        <v>11</v>
      </c>
      <c r="D43" s="11">
        <v>96.53</v>
      </c>
      <c r="E43" s="47">
        <v>100</v>
      </c>
      <c r="F43" s="11">
        <v>100</v>
      </c>
      <c r="G43" s="11">
        <v>100</v>
      </c>
      <c r="H43" s="11">
        <v>100</v>
      </c>
      <c r="I43" s="11">
        <v>100</v>
      </c>
      <c r="J43" s="11">
        <v>100</v>
      </c>
      <c r="K43" s="11">
        <v>100</v>
      </c>
      <c r="L43" s="11">
        <v>100</v>
      </c>
      <c r="M43" s="11">
        <v>100</v>
      </c>
    </row>
    <row r="44" spans="1:13" x14ac:dyDescent="0.35">
      <c r="A44" s="63">
        <v>-7.0000000000000007E-2</v>
      </c>
      <c r="B44" s="66" t="s">
        <v>36</v>
      </c>
      <c r="C44" s="2" t="s">
        <v>10</v>
      </c>
      <c r="D44" s="50">
        <v>96.610000000212821</v>
      </c>
      <c r="E44" s="50">
        <v>96.908490150368792</v>
      </c>
      <c r="F44" s="50">
        <v>100.74941911915225</v>
      </c>
      <c r="G44" s="50">
        <v>98.085716763116068</v>
      </c>
      <c r="H44" s="50">
        <v>103.19003025978718</v>
      </c>
      <c r="I44" s="50">
        <v>98.053099127558738</v>
      </c>
      <c r="J44" s="50">
        <v>99.825992640665476</v>
      </c>
      <c r="K44" s="50">
        <v>82.802185256044694</v>
      </c>
      <c r="L44" s="50">
        <v>102.01507110770822</v>
      </c>
      <c r="M44" s="50">
        <v>103.33639316328878</v>
      </c>
    </row>
    <row r="45" spans="1:13" x14ac:dyDescent="0.35">
      <c r="A45" s="64"/>
      <c r="B45" s="64"/>
      <c r="C45" s="2" t="s">
        <v>11</v>
      </c>
      <c r="D45" s="53">
        <v>88.850694260087693</v>
      </c>
      <c r="E45" s="53">
        <v>89.873497499999999</v>
      </c>
      <c r="F45" s="54">
        <v>95.362008000000003</v>
      </c>
      <c r="G45" s="54">
        <v>95.098001300000007</v>
      </c>
      <c r="H45" s="53">
        <v>100.5602609</v>
      </c>
      <c r="I45" s="54">
        <v>93.279032200000003</v>
      </c>
      <c r="J45" s="53">
        <v>90.542853500000007</v>
      </c>
      <c r="K45" s="53">
        <v>65.837591799999998</v>
      </c>
      <c r="L45" s="53">
        <v>92.231367399999996</v>
      </c>
      <c r="M45" s="54">
        <v>101.0850828</v>
      </c>
    </row>
    <row r="46" spans="1:13" ht="15" thickBot="1" x14ac:dyDescent="0.4">
      <c r="A46" s="65"/>
      <c r="B46" s="65"/>
      <c r="C46" s="2" t="s">
        <v>14</v>
      </c>
      <c r="D46" s="53">
        <f>D44*0.93</f>
        <v>89.847300000197933</v>
      </c>
      <c r="E46" s="53">
        <f t="shared" ref="E46:M46" si="3">E44*0.93</f>
        <v>90.124895839842978</v>
      </c>
      <c r="F46" s="54">
        <f t="shared" si="3"/>
        <v>93.696959780811596</v>
      </c>
      <c r="G46" s="54">
        <f t="shared" si="3"/>
        <v>91.219716589697953</v>
      </c>
      <c r="H46" s="53">
        <f t="shared" si="3"/>
        <v>95.966728141602076</v>
      </c>
      <c r="I46" s="54">
        <f t="shared" si="3"/>
        <v>91.189382188629637</v>
      </c>
      <c r="J46" s="53">
        <f t="shared" si="3"/>
        <v>92.838173155818893</v>
      </c>
      <c r="K46" s="53">
        <f t="shared" si="3"/>
        <v>77.006032288121574</v>
      </c>
      <c r="L46" s="53">
        <f t="shared" si="3"/>
        <v>94.874016130168656</v>
      </c>
      <c r="M46" s="54">
        <f t="shared" si="3"/>
        <v>96.102845641858565</v>
      </c>
    </row>
    <row r="47" spans="1:13" x14ac:dyDescent="0.35">
      <c r="A47" s="63">
        <v>-0.05</v>
      </c>
      <c r="B47" s="66" t="s">
        <v>38</v>
      </c>
      <c r="C47" s="2" t="s">
        <v>10</v>
      </c>
      <c r="D47" s="9">
        <v>97.35</v>
      </c>
      <c r="E47" s="9">
        <v>98.06</v>
      </c>
      <c r="F47" s="9">
        <v>95.743361916147904</v>
      </c>
      <c r="G47" s="9">
        <v>99.74</v>
      </c>
      <c r="H47" s="9">
        <v>95.938240661043196</v>
      </c>
      <c r="I47" s="9">
        <v>98.83</v>
      </c>
      <c r="J47" s="9">
        <v>98.94</v>
      </c>
      <c r="K47" s="9">
        <v>94.81</v>
      </c>
      <c r="L47" s="9">
        <v>99.05</v>
      </c>
      <c r="M47" s="9">
        <v>99.06</v>
      </c>
    </row>
    <row r="48" spans="1:13" x14ac:dyDescent="0.35">
      <c r="A48" s="64"/>
      <c r="B48" s="64"/>
      <c r="C48" s="2" t="s">
        <v>11</v>
      </c>
      <c r="D48" s="17">
        <v>91.514509343586639</v>
      </c>
      <c r="E48" s="17">
        <v>86.277117851536872</v>
      </c>
      <c r="F48" s="49">
        <v>98.767881393518337</v>
      </c>
      <c r="G48" s="16">
        <v>98.216245883644305</v>
      </c>
      <c r="H48" s="17">
        <v>87.60535425870151</v>
      </c>
      <c r="I48" s="16">
        <v>97.845859417154529</v>
      </c>
      <c r="J48" s="17">
        <v>90.66295821152454</v>
      </c>
      <c r="K48" s="17">
        <v>82.188177605803375</v>
      </c>
      <c r="L48" s="16">
        <v>95.701782478822949</v>
      </c>
      <c r="M48" s="49">
        <v>99.789276516038399</v>
      </c>
    </row>
    <row r="49" spans="1:14" ht="15" thickBot="1" x14ac:dyDescent="0.4">
      <c r="A49" s="65"/>
      <c r="B49" s="65"/>
      <c r="C49" s="2" t="s">
        <v>14</v>
      </c>
      <c r="D49" s="17">
        <f>D47*0.95</f>
        <v>92.482499999999987</v>
      </c>
      <c r="E49" s="17">
        <f>E47*0.95</f>
        <v>93.156999999999996</v>
      </c>
      <c r="F49" s="9"/>
      <c r="G49" s="16">
        <f t="shared" ref="G49:L49" si="4">G47*0.95</f>
        <v>94.752999999999986</v>
      </c>
      <c r="H49" s="17">
        <f t="shared" si="4"/>
        <v>91.14132862799103</v>
      </c>
      <c r="I49" s="16">
        <f t="shared" si="4"/>
        <v>93.888499999999993</v>
      </c>
      <c r="J49" s="17">
        <f t="shared" si="4"/>
        <v>93.992999999999995</v>
      </c>
      <c r="K49" s="17">
        <f t="shared" si="4"/>
        <v>90.069500000000005</v>
      </c>
      <c r="L49" s="16">
        <f t="shared" si="4"/>
        <v>94.097499999999997</v>
      </c>
      <c r="M49" s="9"/>
    </row>
    <row r="50" spans="1:14" x14ac:dyDescent="0.35">
      <c r="A50" s="63">
        <v>-0.05</v>
      </c>
      <c r="B50" s="66" t="s">
        <v>37</v>
      </c>
      <c r="C50" s="2" t="s">
        <v>10</v>
      </c>
      <c r="D50" s="9">
        <v>87</v>
      </c>
      <c r="E50" s="9">
        <v>87</v>
      </c>
      <c r="F50" s="9">
        <v>87</v>
      </c>
      <c r="G50" s="9">
        <v>87</v>
      </c>
      <c r="H50" s="9">
        <v>87</v>
      </c>
      <c r="I50" s="9">
        <v>87</v>
      </c>
      <c r="J50" s="9">
        <v>87</v>
      </c>
      <c r="K50" s="9">
        <v>87</v>
      </c>
      <c r="L50" s="9">
        <v>87</v>
      </c>
      <c r="M50" s="9">
        <v>87</v>
      </c>
    </row>
    <row r="51" spans="1:14" x14ac:dyDescent="0.35">
      <c r="A51" s="64"/>
      <c r="B51" s="64"/>
      <c r="C51" s="2" t="s">
        <v>11</v>
      </c>
      <c r="D51" s="16">
        <v>84.957999999999998</v>
      </c>
      <c r="E51" s="49">
        <v>87.369</v>
      </c>
      <c r="F51" s="16">
        <v>86.813000000000002</v>
      </c>
      <c r="G51" s="16">
        <v>85.712999999999994</v>
      </c>
      <c r="H51" s="16">
        <v>84.588999999999999</v>
      </c>
      <c r="I51" s="16">
        <v>82.933999999999997</v>
      </c>
      <c r="J51" s="16">
        <v>85.108999999999995</v>
      </c>
      <c r="K51" s="16">
        <v>81.66</v>
      </c>
      <c r="L51" s="16">
        <v>86.863</v>
      </c>
      <c r="M51" s="16">
        <v>85.087999999999994</v>
      </c>
      <c r="N51" s="42"/>
    </row>
    <row r="52" spans="1:14" x14ac:dyDescent="0.35">
      <c r="A52" s="65"/>
      <c r="B52" s="65"/>
      <c r="C52" s="2" t="s">
        <v>14</v>
      </c>
      <c r="D52" s="16">
        <f>D50*0.95</f>
        <v>82.649999999999991</v>
      </c>
      <c r="E52" s="9"/>
      <c r="F52" s="16">
        <f t="shared" ref="F52:M52" si="5">F50*0.95</f>
        <v>82.649999999999991</v>
      </c>
      <c r="G52" s="16">
        <f t="shared" si="5"/>
        <v>82.649999999999991</v>
      </c>
      <c r="H52" s="16">
        <f t="shared" si="5"/>
        <v>82.649999999999991</v>
      </c>
      <c r="I52" s="16">
        <f t="shared" si="5"/>
        <v>82.649999999999991</v>
      </c>
      <c r="J52" s="16">
        <f t="shared" si="5"/>
        <v>82.649999999999991</v>
      </c>
      <c r="K52" s="16">
        <f t="shared" si="5"/>
        <v>82.649999999999991</v>
      </c>
      <c r="L52" s="16">
        <f t="shared" si="5"/>
        <v>82.649999999999991</v>
      </c>
      <c r="M52" s="16">
        <f t="shared" si="5"/>
        <v>82.649999999999991</v>
      </c>
    </row>
  </sheetData>
  <mergeCells count="39">
    <mergeCell ref="A7:A9"/>
    <mergeCell ref="B7:B9"/>
    <mergeCell ref="B1:M1"/>
    <mergeCell ref="A3:A4"/>
    <mergeCell ref="B3:B4"/>
    <mergeCell ref="A5:A6"/>
    <mergeCell ref="B5:B6"/>
    <mergeCell ref="A10:A12"/>
    <mergeCell ref="B10:B12"/>
    <mergeCell ref="A13:A14"/>
    <mergeCell ref="B13:B14"/>
    <mergeCell ref="A17:A18"/>
    <mergeCell ref="B17:B18"/>
    <mergeCell ref="A15:A16"/>
    <mergeCell ref="B15:B16"/>
    <mergeCell ref="A20:A21"/>
    <mergeCell ref="B20:B21"/>
    <mergeCell ref="A22:A24"/>
    <mergeCell ref="B22:B24"/>
    <mergeCell ref="A28:A30"/>
    <mergeCell ref="B28:B30"/>
    <mergeCell ref="A40:A41"/>
    <mergeCell ref="B40:B41"/>
    <mergeCell ref="A42:A43"/>
    <mergeCell ref="B42:B43"/>
    <mergeCell ref="A25:A27"/>
    <mergeCell ref="B25:B27"/>
    <mergeCell ref="A31:A33"/>
    <mergeCell ref="B31:B33"/>
    <mergeCell ref="A34:A36"/>
    <mergeCell ref="B34:B36"/>
    <mergeCell ref="A37:A39"/>
    <mergeCell ref="B37:B39"/>
    <mergeCell ref="A50:A52"/>
    <mergeCell ref="B50:B52"/>
    <mergeCell ref="A44:A46"/>
    <mergeCell ref="B44:B46"/>
    <mergeCell ref="A47:A49"/>
    <mergeCell ref="B47:B49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96C4C-CB28-4CE2-B53F-5FC38CBDD821}">
  <dimension ref="A1:N52"/>
  <sheetViews>
    <sheetView zoomScaleNormal="100" workbookViewId="0">
      <selection activeCell="D39" sqref="D39"/>
    </sheetView>
  </sheetViews>
  <sheetFormatPr baseColWidth="10" defaultRowHeight="14.5" x14ac:dyDescent="0.35"/>
  <cols>
    <col min="1" max="1" width="11.54296875" style="7" customWidth="1"/>
    <col min="2" max="2" width="13.7265625" customWidth="1"/>
    <col min="3" max="3" width="8.7265625" customWidth="1"/>
    <col min="4" max="5" width="14.1796875" customWidth="1"/>
    <col min="6" max="6" width="13.453125" customWidth="1"/>
    <col min="7" max="8" width="11.81640625" customWidth="1"/>
    <col min="9" max="9" width="9.81640625" customWidth="1"/>
    <col min="10" max="10" width="13" customWidth="1"/>
    <col min="11" max="11" width="13.7265625" customWidth="1"/>
    <col min="12" max="12" width="13.1796875" customWidth="1"/>
    <col min="13" max="13" width="12.7265625" customWidth="1"/>
    <col min="14" max="14" width="10.81640625" customWidth="1"/>
  </cols>
  <sheetData>
    <row r="1" spans="1:14" ht="17.5" customHeight="1" x14ac:dyDescent="0.35">
      <c r="B1" s="82" t="s">
        <v>40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4"/>
    </row>
    <row r="2" spans="1:14" ht="16" customHeight="1" x14ac:dyDescent="0.35">
      <c r="A2" s="5" t="s">
        <v>17</v>
      </c>
      <c r="B2" s="5" t="s">
        <v>16</v>
      </c>
      <c r="C2" s="6"/>
      <c r="D2" s="1" t="s">
        <v>20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</row>
    <row r="3" spans="1:14" x14ac:dyDescent="0.35">
      <c r="A3" s="73"/>
      <c r="B3" s="85" t="s">
        <v>9</v>
      </c>
      <c r="C3" s="41" t="s">
        <v>10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4" x14ac:dyDescent="0.35">
      <c r="A4" s="68"/>
      <c r="B4" s="86"/>
      <c r="C4" s="41" t="s">
        <v>11</v>
      </c>
      <c r="D4" s="58">
        <v>0.43211343150422399</v>
      </c>
      <c r="E4" s="55">
        <v>0</v>
      </c>
      <c r="F4" s="55">
        <v>0</v>
      </c>
      <c r="G4" s="57">
        <v>1.3927343832693604</v>
      </c>
      <c r="H4" s="55">
        <v>0</v>
      </c>
      <c r="I4" s="55">
        <v>0</v>
      </c>
      <c r="J4" s="55">
        <v>0</v>
      </c>
      <c r="K4" s="57">
        <v>1.9735796887072756</v>
      </c>
      <c r="L4" s="55">
        <v>0</v>
      </c>
      <c r="M4" s="56">
        <v>0</v>
      </c>
    </row>
    <row r="5" spans="1:14" x14ac:dyDescent="0.35">
      <c r="A5" s="72"/>
      <c r="B5" s="87" t="s">
        <v>12</v>
      </c>
      <c r="C5" s="41" t="s">
        <v>10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4" x14ac:dyDescent="0.35">
      <c r="A6" s="68"/>
      <c r="B6" s="86"/>
      <c r="C6" s="41" t="s">
        <v>11</v>
      </c>
      <c r="D6" s="14">
        <v>12.963402945126701</v>
      </c>
      <c r="E6" s="14">
        <v>36.546487458354953</v>
      </c>
      <c r="F6" s="15">
        <v>0</v>
      </c>
      <c r="G6" s="14">
        <v>25.069218898848487</v>
      </c>
      <c r="H6" s="15">
        <v>0</v>
      </c>
      <c r="I6" s="15">
        <v>0</v>
      </c>
      <c r="J6" s="15">
        <v>0</v>
      </c>
      <c r="K6" s="14">
        <v>43.418753151560068</v>
      </c>
      <c r="L6" s="15">
        <v>0</v>
      </c>
      <c r="M6" s="15">
        <v>0</v>
      </c>
    </row>
    <row r="7" spans="1:14" x14ac:dyDescent="0.35">
      <c r="A7" s="72" t="s">
        <v>28</v>
      </c>
      <c r="B7" s="72" t="s">
        <v>22</v>
      </c>
      <c r="C7" s="3" t="s">
        <v>10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4" x14ac:dyDescent="0.35">
      <c r="A8" s="73"/>
      <c r="B8" s="73"/>
      <c r="C8" s="3" t="s">
        <v>11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4" x14ac:dyDescent="0.35">
      <c r="A9" s="68"/>
      <c r="B9" s="68"/>
      <c r="C9" s="3" t="s">
        <v>28</v>
      </c>
      <c r="D9" s="15"/>
      <c r="E9" s="15"/>
      <c r="F9" s="15"/>
      <c r="G9" s="15"/>
      <c r="H9" s="15"/>
      <c r="I9" s="15"/>
      <c r="J9" s="15"/>
      <c r="K9" s="14"/>
      <c r="L9" s="15"/>
      <c r="M9" s="15"/>
    </row>
    <row r="10" spans="1:14" x14ac:dyDescent="0.35">
      <c r="A10" s="67">
        <v>-0.05</v>
      </c>
      <c r="B10" s="69" t="s">
        <v>27</v>
      </c>
      <c r="C10" s="3" t="s">
        <v>10</v>
      </c>
      <c r="D10" s="3">
        <v>90</v>
      </c>
      <c r="E10" s="3">
        <v>90</v>
      </c>
      <c r="F10" s="3">
        <v>90</v>
      </c>
      <c r="G10" s="3">
        <v>90</v>
      </c>
      <c r="H10" s="3">
        <v>90</v>
      </c>
      <c r="I10" s="3">
        <v>90</v>
      </c>
      <c r="J10" s="3">
        <v>90</v>
      </c>
      <c r="K10" s="3">
        <v>90</v>
      </c>
      <c r="L10" s="3">
        <v>90</v>
      </c>
      <c r="M10" s="3">
        <v>90</v>
      </c>
    </row>
    <row r="11" spans="1:14" x14ac:dyDescent="0.35">
      <c r="A11" s="81"/>
      <c r="B11" s="76"/>
      <c r="C11" s="3" t="s">
        <v>11</v>
      </c>
      <c r="D11" s="28">
        <v>79.3</v>
      </c>
      <c r="E11" s="28">
        <v>67.709999999999994</v>
      </c>
      <c r="F11" s="29">
        <v>97.73</v>
      </c>
      <c r="G11" s="29">
        <v>43.28</v>
      </c>
      <c r="H11" s="29">
        <v>94.88</v>
      </c>
      <c r="I11" s="29">
        <v>94.83</v>
      </c>
      <c r="J11" s="29">
        <v>94.86</v>
      </c>
      <c r="K11" s="28">
        <v>46.39</v>
      </c>
      <c r="L11" s="29">
        <v>93.67</v>
      </c>
      <c r="M11" s="29">
        <v>95.81</v>
      </c>
    </row>
    <row r="12" spans="1:14" x14ac:dyDescent="0.35">
      <c r="A12" s="77"/>
      <c r="B12" s="70"/>
      <c r="C12" s="19" t="s">
        <v>14</v>
      </c>
      <c r="D12" s="3"/>
      <c r="E12" s="3"/>
      <c r="F12" s="3"/>
      <c r="G12" s="3"/>
      <c r="H12" s="30"/>
      <c r="I12" s="3"/>
      <c r="J12" s="3"/>
      <c r="K12" s="3"/>
      <c r="L12" s="3"/>
      <c r="M12" s="3"/>
    </row>
    <row r="13" spans="1:14" s="2" customFormat="1" x14ac:dyDescent="0.35">
      <c r="A13" s="67"/>
      <c r="B13" s="69" t="s">
        <v>30</v>
      </c>
      <c r="C13" s="3" t="s">
        <v>10</v>
      </c>
      <c r="D13" s="3">
        <v>95</v>
      </c>
      <c r="E13" s="3">
        <v>95</v>
      </c>
      <c r="F13" s="3">
        <v>95</v>
      </c>
      <c r="G13" s="3">
        <v>95</v>
      </c>
      <c r="H13" s="3">
        <v>95</v>
      </c>
      <c r="I13" s="3">
        <v>95</v>
      </c>
      <c r="J13" s="3">
        <v>95</v>
      </c>
      <c r="K13" s="3">
        <v>95</v>
      </c>
      <c r="L13" s="3">
        <v>95</v>
      </c>
      <c r="M13" s="3">
        <v>95</v>
      </c>
      <c r="N13" s="27"/>
    </row>
    <row r="14" spans="1:14" s="2" customFormat="1" x14ac:dyDescent="0.35">
      <c r="A14" s="77"/>
      <c r="B14" s="70"/>
      <c r="C14" s="3" t="s">
        <v>11</v>
      </c>
      <c r="D14" s="12">
        <v>92.19</v>
      </c>
      <c r="E14" s="25">
        <v>96</v>
      </c>
      <c r="F14" s="25">
        <v>97</v>
      </c>
      <c r="G14" s="11">
        <v>95</v>
      </c>
      <c r="H14" s="12">
        <v>88</v>
      </c>
      <c r="I14" s="26">
        <v>94</v>
      </c>
      <c r="J14" s="26">
        <v>84.92</v>
      </c>
      <c r="K14" s="25">
        <v>95</v>
      </c>
      <c r="L14" s="26">
        <v>86</v>
      </c>
      <c r="M14" s="12">
        <v>92</v>
      </c>
      <c r="N14" s="27"/>
    </row>
    <row r="15" spans="1:14" s="2" customFormat="1" x14ac:dyDescent="0.35">
      <c r="A15" s="67"/>
      <c r="B15" s="69" t="s">
        <v>39</v>
      </c>
      <c r="C15" s="3" t="s">
        <v>10</v>
      </c>
      <c r="D15" s="3">
        <v>80</v>
      </c>
      <c r="E15" s="3">
        <v>80</v>
      </c>
      <c r="F15" s="3">
        <v>80</v>
      </c>
      <c r="G15" s="3">
        <v>80</v>
      </c>
      <c r="H15" s="3">
        <v>80</v>
      </c>
      <c r="I15" s="3">
        <v>80</v>
      </c>
      <c r="J15" s="3">
        <v>80</v>
      </c>
      <c r="K15" s="3">
        <v>80</v>
      </c>
      <c r="L15" s="3">
        <v>80</v>
      </c>
      <c r="M15" s="3">
        <v>80</v>
      </c>
    </row>
    <row r="16" spans="1:14" s="2" customFormat="1" x14ac:dyDescent="0.35">
      <c r="A16" s="77"/>
      <c r="B16" s="70"/>
      <c r="C16" s="3" t="s">
        <v>11</v>
      </c>
      <c r="D16" s="11">
        <v>79.53</v>
      </c>
      <c r="E16" s="25">
        <v>78.38</v>
      </c>
      <c r="F16" s="25">
        <v>94.44</v>
      </c>
      <c r="G16" s="11">
        <v>80.930000000000007</v>
      </c>
      <c r="H16" s="11">
        <v>90.92</v>
      </c>
      <c r="I16" s="25">
        <v>86.78</v>
      </c>
      <c r="J16" s="25">
        <v>92.91</v>
      </c>
      <c r="K16" s="25">
        <v>91.3</v>
      </c>
      <c r="L16" s="25">
        <v>88.24</v>
      </c>
      <c r="M16" s="11">
        <v>91.38</v>
      </c>
    </row>
    <row r="17" spans="1:14" x14ac:dyDescent="0.35">
      <c r="A17" s="74" t="s">
        <v>33</v>
      </c>
      <c r="B17" s="75" t="s">
        <v>31</v>
      </c>
      <c r="C17" s="18" t="s">
        <v>10</v>
      </c>
      <c r="D17" s="18">
        <v>90</v>
      </c>
      <c r="E17" s="18">
        <v>90</v>
      </c>
      <c r="F17" s="18">
        <v>90</v>
      </c>
      <c r="G17" s="18">
        <v>90</v>
      </c>
      <c r="H17" s="18">
        <v>90</v>
      </c>
      <c r="I17" s="18">
        <v>90</v>
      </c>
      <c r="J17" s="18">
        <v>90</v>
      </c>
      <c r="K17" s="18">
        <v>90</v>
      </c>
      <c r="L17" s="18">
        <v>90</v>
      </c>
      <c r="M17" s="18">
        <v>90</v>
      </c>
    </row>
    <row r="18" spans="1:14" x14ac:dyDescent="0.35">
      <c r="A18" s="74"/>
      <c r="B18" s="75"/>
      <c r="C18" s="3" t="s">
        <v>11</v>
      </c>
      <c r="D18" s="12">
        <v>23.11</v>
      </c>
      <c r="E18" s="12">
        <v>21.05</v>
      </c>
      <c r="F18" s="12">
        <v>24</v>
      </c>
      <c r="G18" s="12">
        <v>5.88</v>
      </c>
      <c r="H18" s="12">
        <v>37.93</v>
      </c>
      <c r="I18" s="12">
        <v>31.71</v>
      </c>
      <c r="J18" s="12">
        <v>45</v>
      </c>
      <c r="K18" s="12">
        <v>21.98</v>
      </c>
      <c r="L18" s="12">
        <v>26.47</v>
      </c>
      <c r="M18" s="12">
        <v>47.83</v>
      </c>
    </row>
    <row r="19" spans="1:14" x14ac:dyDescent="0.35">
      <c r="A19" s="40"/>
      <c r="B19" s="39"/>
      <c r="C19" s="3"/>
      <c r="D19" s="12"/>
      <c r="E19" s="12"/>
      <c r="F19" s="48"/>
      <c r="G19" s="12"/>
      <c r="H19" s="12"/>
      <c r="I19" s="12"/>
      <c r="J19" s="12"/>
      <c r="K19" s="12"/>
      <c r="L19" s="12"/>
      <c r="M19" s="12"/>
    </row>
    <row r="20" spans="1:14" x14ac:dyDescent="0.35">
      <c r="A20" s="67"/>
      <c r="B20" s="69" t="s">
        <v>32</v>
      </c>
      <c r="C20" s="3" t="s">
        <v>10</v>
      </c>
      <c r="D20" s="20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</row>
    <row r="21" spans="1:14" x14ac:dyDescent="0.35">
      <c r="A21" s="77"/>
      <c r="B21" s="70"/>
      <c r="C21" s="3" t="s">
        <v>11</v>
      </c>
      <c r="D21" s="38">
        <v>627891.97</v>
      </c>
      <c r="E21" s="24">
        <v>261533.31</v>
      </c>
      <c r="F21" s="24">
        <v>0</v>
      </c>
      <c r="G21" s="24">
        <v>100579.62</v>
      </c>
      <c r="H21" s="23">
        <v>0</v>
      </c>
      <c r="I21" s="23">
        <v>0</v>
      </c>
      <c r="J21" s="22">
        <v>0</v>
      </c>
      <c r="K21" s="37">
        <v>265779.03999999998</v>
      </c>
      <c r="L21" s="36">
        <v>0</v>
      </c>
      <c r="M21" s="23">
        <v>0</v>
      </c>
    </row>
    <row r="22" spans="1:14" x14ac:dyDescent="0.35">
      <c r="A22" s="78" t="s">
        <v>29</v>
      </c>
      <c r="B22" s="72" t="s">
        <v>13</v>
      </c>
      <c r="C22" s="2" t="s">
        <v>10</v>
      </c>
      <c r="D22" s="44">
        <v>2.8046816843658089</v>
      </c>
      <c r="E22" s="44">
        <v>3.0267239190665944</v>
      </c>
      <c r="F22" s="44">
        <v>2.4786465365887245</v>
      </c>
      <c r="G22" s="44">
        <v>2.184739608866062</v>
      </c>
      <c r="H22" s="44">
        <v>2.7802782996135424</v>
      </c>
      <c r="I22" s="44">
        <v>2.7210154820371821</v>
      </c>
      <c r="J22" s="44">
        <v>3.1993928001681855</v>
      </c>
      <c r="K22" s="44">
        <v>3.2113517108411243</v>
      </c>
      <c r="L22" s="44">
        <v>4.4983926204317335</v>
      </c>
      <c r="M22" s="44">
        <v>2.357505866770325</v>
      </c>
      <c r="N22" s="51"/>
    </row>
    <row r="23" spans="1:14" x14ac:dyDescent="0.35">
      <c r="A23" s="79"/>
      <c r="B23" s="73"/>
      <c r="C23" s="2" t="s">
        <v>11</v>
      </c>
      <c r="D23" s="44">
        <v>2.2074318093481593</v>
      </c>
      <c r="E23" s="44">
        <v>1.421598257358895</v>
      </c>
      <c r="F23" s="44">
        <v>2.4445991566724028</v>
      </c>
      <c r="G23" s="44">
        <v>1.1515181339501008</v>
      </c>
      <c r="H23" s="44">
        <v>2.6427171783148271</v>
      </c>
      <c r="I23" s="44">
        <v>2.01795327850262</v>
      </c>
      <c r="J23" s="44">
        <v>3.6104144667370641</v>
      </c>
      <c r="K23" s="44">
        <v>1.9916174426685198</v>
      </c>
      <c r="L23" s="44">
        <v>4.3828085957021488</v>
      </c>
      <c r="M23" s="44">
        <v>1.8471368178324366</v>
      </c>
      <c r="N23" s="51"/>
    </row>
    <row r="24" spans="1:14" ht="15" thickBot="1" x14ac:dyDescent="0.4">
      <c r="A24" s="80"/>
      <c r="B24" s="68"/>
      <c r="C24" s="2" t="s">
        <v>14</v>
      </c>
      <c r="D24" s="32">
        <f>D22*0.8</f>
        <v>2.2437453474926472</v>
      </c>
      <c r="E24" s="26">
        <f>E22*0.8</f>
        <v>2.4213791352532756</v>
      </c>
      <c r="F24" s="25">
        <f>F22*0.9</f>
        <v>2.2307818829298522</v>
      </c>
      <c r="G24" s="26">
        <f t="shared" ref="G24:M24" si="0">G22*0.8</f>
        <v>1.7477916870928496</v>
      </c>
      <c r="H24" s="25">
        <f>H22*0.9</f>
        <v>2.5022504696521883</v>
      </c>
      <c r="I24" s="26">
        <f t="shared" si="0"/>
        <v>2.1768123856297459</v>
      </c>
      <c r="J24" s="25">
        <f>J22*1.2</f>
        <v>3.8392713602018222</v>
      </c>
      <c r="K24" s="26">
        <f t="shared" si="0"/>
        <v>2.5690813686728995</v>
      </c>
      <c r="L24" s="25">
        <f>L22*0.9</f>
        <v>4.0485533583885607</v>
      </c>
      <c r="M24" s="26">
        <f t="shared" si="0"/>
        <v>1.8860046934162602</v>
      </c>
      <c r="N24" s="51"/>
    </row>
    <row r="25" spans="1:14" x14ac:dyDescent="0.35">
      <c r="A25" s="63">
        <v>-0.03</v>
      </c>
      <c r="B25" s="66" t="s">
        <v>23</v>
      </c>
      <c r="C25" s="2" t="s">
        <v>10</v>
      </c>
      <c r="D25" s="50">
        <v>55.444395311999997</v>
      </c>
      <c r="E25" s="50">
        <v>65.489566612999994</v>
      </c>
      <c r="F25" s="50">
        <v>51.188487729000002</v>
      </c>
      <c r="G25" s="50">
        <v>42.044463817999997</v>
      </c>
      <c r="H25" s="50">
        <v>63.678737898000001</v>
      </c>
      <c r="I25" s="50">
        <v>47.417344458999999</v>
      </c>
      <c r="J25" s="50">
        <v>56.158038146999999</v>
      </c>
      <c r="K25" s="50">
        <v>59.695603155999997</v>
      </c>
      <c r="L25" s="50">
        <v>53.904794172000003</v>
      </c>
      <c r="M25" s="50">
        <v>52.096219931</v>
      </c>
    </row>
    <row r="26" spans="1:14" x14ac:dyDescent="0.35">
      <c r="A26" s="64"/>
      <c r="B26" s="64"/>
      <c r="C26" s="2" t="s">
        <v>11</v>
      </c>
      <c r="D26" s="52">
        <v>58.081290019000001</v>
      </c>
      <c r="E26" s="52">
        <v>65.532518163999995</v>
      </c>
      <c r="F26" s="52">
        <v>52.055505122</v>
      </c>
      <c r="G26" s="52">
        <v>48.478964400999999</v>
      </c>
      <c r="H26" s="52">
        <v>64.141008478000003</v>
      </c>
      <c r="I26" s="52">
        <v>50.757180155999997</v>
      </c>
      <c r="J26" s="52">
        <v>59.752155172000002</v>
      </c>
      <c r="K26" s="52">
        <v>64.817853626000002</v>
      </c>
      <c r="L26" s="52">
        <v>54.531645568999998</v>
      </c>
      <c r="M26" s="52">
        <v>53.319246346</v>
      </c>
    </row>
    <row r="27" spans="1:14" x14ac:dyDescent="0.35">
      <c r="A27" s="65"/>
      <c r="B27" s="65"/>
      <c r="C27" s="2" t="s">
        <v>14</v>
      </c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4" x14ac:dyDescent="0.35">
      <c r="A28" s="71">
        <v>7.0000000000000007E-2</v>
      </c>
      <c r="B28" s="72" t="s">
        <v>41</v>
      </c>
      <c r="C28" s="2" t="s">
        <v>10</v>
      </c>
      <c r="D28" s="44">
        <v>7.0712544419999999</v>
      </c>
      <c r="E28" s="44">
        <v>4.9988678679999996</v>
      </c>
      <c r="F28" s="44">
        <v>3.7781228360000001</v>
      </c>
      <c r="G28" s="44">
        <v>3.6399357299999999</v>
      </c>
      <c r="H28" s="44">
        <v>14.71957752</v>
      </c>
      <c r="I28" s="44">
        <v>6.7419189470000003</v>
      </c>
      <c r="J28" s="44">
        <v>7.5398535109999996</v>
      </c>
      <c r="K28" s="44">
        <v>10.513627391</v>
      </c>
      <c r="L28" s="44">
        <v>5.3218365289999996</v>
      </c>
      <c r="M28" s="44">
        <v>3.0307760340000001</v>
      </c>
    </row>
    <row r="29" spans="1:14" x14ac:dyDescent="0.35">
      <c r="A29" s="71"/>
      <c r="B29" s="73"/>
      <c r="C29" s="2" t="s">
        <v>11</v>
      </c>
      <c r="D29" s="29">
        <v>6.7765439120000002</v>
      </c>
      <c r="E29" s="29">
        <v>4.5485139520000004</v>
      </c>
      <c r="F29" s="28">
        <v>4.6915941200000004</v>
      </c>
      <c r="G29" s="59">
        <v>3.773794509</v>
      </c>
      <c r="H29" s="29">
        <v>10.327621844999999</v>
      </c>
      <c r="I29" s="29">
        <v>6.7110104719999999</v>
      </c>
      <c r="J29" s="44">
        <v>10.181456794000001</v>
      </c>
      <c r="K29" s="44">
        <v>12.176332374999999</v>
      </c>
      <c r="L29" s="29">
        <v>4.773241477</v>
      </c>
      <c r="M29" s="44">
        <v>3.3303417120000001</v>
      </c>
    </row>
    <row r="30" spans="1:14" x14ac:dyDescent="0.35">
      <c r="A30" s="71"/>
      <c r="B30" s="68"/>
      <c r="C30" s="2" t="s">
        <v>14</v>
      </c>
      <c r="D30" s="43"/>
      <c r="E30" s="43"/>
      <c r="F30" s="26">
        <f>F28*1.07</f>
        <v>4.0425914345200002</v>
      </c>
      <c r="G30" s="33">
        <f>G28*1.07</f>
        <v>3.8947312311000002</v>
      </c>
      <c r="H30" s="43"/>
      <c r="I30" s="43"/>
      <c r="J30" s="26">
        <f>J28*1.07</f>
        <v>8.0676432567699994</v>
      </c>
      <c r="K30" s="26">
        <f>K28*1.07</f>
        <v>11.249581308370001</v>
      </c>
      <c r="L30" s="43"/>
      <c r="M30" s="26">
        <f t="shared" ref="M30" si="1">M28*1.07</f>
        <v>3.24293035638</v>
      </c>
    </row>
    <row r="31" spans="1:14" x14ac:dyDescent="0.35">
      <c r="A31" s="71">
        <v>0.1</v>
      </c>
      <c r="B31" s="69" t="s">
        <v>34</v>
      </c>
      <c r="C31" s="2" t="s">
        <v>10</v>
      </c>
      <c r="D31" s="8">
        <v>16.32</v>
      </c>
      <c r="E31" s="8">
        <v>10.38</v>
      </c>
      <c r="F31" s="50">
        <v>8.1999999999999993</v>
      </c>
      <c r="G31" s="8">
        <v>8.32</v>
      </c>
      <c r="H31" s="8">
        <v>20.79</v>
      </c>
      <c r="I31" s="8">
        <v>21.49</v>
      </c>
      <c r="J31" s="8">
        <v>12.25</v>
      </c>
      <c r="K31" s="8">
        <v>14.47</v>
      </c>
      <c r="L31" s="8">
        <v>7.89</v>
      </c>
      <c r="M31" s="8">
        <v>6.51</v>
      </c>
    </row>
    <row r="32" spans="1:14" x14ac:dyDescent="0.35">
      <c r="A32" s="71"/>
      <c r="B32" s="76"/>
      <c r="C32" s="2" t="s">
        <v>11</v>
      </c>
      <c r="D32" s="15">
        <v>16.11</v>
      </c>
      <c r="E32" s="15">
        <v>10.050000000000001</v>
      </c>
      <c r="F32" s="8">
        <v>8.25</v>
      </c>
      <c r="G32" s="8">
        <v>8.4499999999999993</v>
      </c>
      <c r="H32" s="15">
        <v>20.6</v>
      </c>
      <c r="I32" s="15">
        <v>21.36</v>
      </c>
      <c r="J32" s="15">
        <v>11.78</v>
      </c>
      <c r="K32" s="15">
        <v>14.06</v>
      </c>
      <c r="L32" s="15">
        <v>7.86</v>
      </c>
      <c r="M32" s="15">
        <v>6.22</v>
      </c>
    </row>
    <row r="33" spans="1:13" x14ac:dyDescent="0.35">
      <c r="A33" s="71"/>
      <c r="B33" s="70"/>
      <c r="C33" s="2" t="s">
        <v>14</v>
      </c>
      <c r="D33" s="3"/>
      <c r="E33" s="3"/>
      <c r="F33" s="4">
        <f>F31*1.1</f>
        <v>9.02</v>
      </c>
      <c r="G33" s="4">
        <f>G31*1.1</f>
        <v>9.152000000000001</v>
      </c>
      <c r="H33" s="3"/>
      <c r="I33" s="3"/>
      <c r="J33" s="3"/>
      <c r="K33" s="3"/>
      <c r="L33" s="3"/>
      <c r="M33" s="3"/>
    </row>
    <row r="34" spans="1:13" x14ac:dyDescent="0.35">
      <c r="A34" s="71">
        <v>7.0000000000000007E-2</v>
      </c>
      <c r="B34" s="72" t="s">
        <v>35</v>
      </c>
      <c r="C34" s="2" t="s">
        <v>10</v>
      </c>
      <c r="D34" s="45">
        <v>0.99899989700000003</v>
      </c>
      <c r="E34" s="45">
        <v>1.2238722150000001</v>
      </c>
      <c r="F34" s="45">
        <v>0.38203016200000001</v>
      </c>
      <c r="G34" s="45">
        <v>0.68906589299999998</v>
      </c>
      <c r="H34" s="45">
        <v>1.098823586</v>
      </c>
      <c r="I34" s="45">
        <v>1.1276358399999999</v>
      </c>
      <c r="J34" s="45">
        <v>0.31714788300000002</v>
      </c>
      <c r="K34" s="45">
        <v>2.489224412</v>
      </c>
      <c r="L34" s="45">
        <v>0.131403191</v>
      </c>
      <c r="M34" s="45">
        <v>0.169802919</v>
      </c>
    </row>
    <row r="35" spans="1:13" x14ac:dyDescent="0.35">
      <c r="A35" s="71"/>
      <c r="B35" s="73"/>
      <c r="C35" s="2" t="s">
        <v>11</v>
      </c>
      <c r="D35" s="46">
        <v>0.81756316799999995</v>
      </c>
      <c r="E35" s="46">
        <v>0.93278285100000002</v>
      </c>
      <c r="F35" s="46">
        <v>0.348184461</v>
      </c>
      <c r="G35" s="46">
        <v>0.52920718899999997</v>
      </c>
      <c r="H35" s="46">
        <v>0.77326578599999996</v>
      </c>
      <c r="I35" s="46">
        <v>0.29755565299999998</v>
      </c>
      <c r="J35" s="35">
        <v>0.34791899999999998</v>
      </c>
      <c r="K35" s="34">
        <v>2.5654264489999998</v>
      </c>
      <c r="L35" s="35">
        <v>0.490001609</v>
      </c>
      <c r="M35" s="46">
        <v>0.11293975000000001</v>
      </c>
    </row>
    <row r="36" spans="1:13" x14ac:dyDescent="0.35">
      <c r="A36" s="71"/>
      <c r="B36" s="68"/>
      <c r="C36" s="2" t="s">
        <v>14</v>
      </c>
      <c r="D36" s="44"/>
      <c r="E36" s="44"/>
      <c r="F36" s="44"/>
      <c r="G36" s="44"/>
      <c r="H36" s="44"/>
      <c r="I36" s="44"/>
      <c r="J36" s="31">
        <f>J34*1.07</f>
        <v>0.33934823481000004</v>
      </c>
      <c r="K36" s="33">
        <f t="shared" ref="K36:L36" si="2">K34*1.07</f>
        <v>2.66347012084</v>
      </c>
      <c r="L36" s="31">
        <f t="shared" si="2"/>
        <v>0.14060141437000001</v>
      </c>
      <c r="M36" s="44"/>
    </row>
    <row r="37" spans="1:13" x14ac:dyDescent="0.35">
      <c r="A37" s="74" t="s">
        <v>26</v>
      </c>
      <c r="B37" s="75" t="s">
        <v>18</v>
      </c>
      <c r="C37" s="2" t="s">
        <v>10</v>
      </c>
      <c r="D37" s="3">
        <v>20</v>
      </c>
      <c r="E37" s="3">
        <v>20</v>
      </c>
      <c r="F37" s="3">
        <v>20</v>
      </c>
      <c r="G37" s="3">
        <v>20</v>
      </c>
      <c r="H37" s="3">
        <v>20</v>
      </c>
      <c r="I37" s="3">
        <v>20</v>
      </c>
      <c r="J37" s="3">
        <v>20</v>
      </c>
      <c r="K37" s="3">
        <v>20</v>
      </c>
      <c r="L37" s="3">
        <v>20</v>
      </c>
      <c r="M37" s="3">
        <v>20</v>
      </c>
    </row>
    <row r="38" spans="1:13" x14ac:dyDescent="0.35">
      <c r="A38" s="71"/>
      <c r="B38" s="75"/>
      <c r="C38" s="2" t="s">
        <v>11</v>
      </c>
      <c r="D38" s="4">
        <v>20.100000000000001</v>
      </c>
      <c r="E38" s="12">
        <v>29</v>
      </c>
      <c r="F38" s="11">
        <v>20</v>
      </c>
      <c r="G38" s="11">
        <v>19</v>
      </c>
      <c r="H38" s="11">
        <v>19</v>
      </c>
      <c r="I38" s="11">
        <v>19</v>
      </c>
      <c r="J38" s="11">
        <v>19</v>
      </c>
      <c r="K38" s="11">
        <v>18</v>
      </c>
      <c r="L38" s="11">
        <v>20</v>
      </c>
      <c r="M38" s="11">
        <v>18</v>
      </c>
    </row>
    <row r="39" spans="1:13" x14ac:dyDescent="0.35">
      <c r="A39" s="71"/>
      <c r="B39" s="75"/>
      <c r="C39" s="2" t="s">
        <v>14</v>
      </c>
      <c r="D39" s="13">
        <f>D37*1.1</f>
        <v>22</v>
      </c>
      <c r="E39" s="14">
        <f>E37*1.2</f>
        <v>24</v>
      </c>
      <c r="F39" s="8"/>
      <c r="G39" s="15">
        <f>G37*0.9</f>
        <v>18</v>
      </c>
      <c r="H39" s="15">
        <f>H37*0.9</f>
        <v>18</v>
      </c>
      <c r="I39" s="15">
        <f>I37*0.9</f>
        <v>18</v>
      </c>
      <c r="J39" s="15">
        <f>J37*0.9</f>
        <v>18</v>
      </c>
      <c r="K39" s="15">
        <f>K37*0.9</f>
        <v>18</v>
      </c>
      <c r="L39" s="8"/>
      <c r="M39" s="15">
        <f>M37*0.9</f>
        <v>18</v>
      </c>
    </row>
    <row r="40" spans="1:13" ht="20.149999999999999" customHeight="1" x14ac:dyDescent="0.35">
      <c r="A40" s="71" t="s">
        <v>25</v>
      </c>
      <c r="B40" s="75" t="s">
        <v>24</v>
      </c>
      <c r="C40" s="2" t="s">
        <v>10</v>
      </c>
      <c r="D40" s="3">
        <v>100</v>
      </c>
      <c r="E40" s="3">
        <v>100</v>
      </c>
      <c r="F40" s="3">
        <v>100</v>
      </c>
      <c r="G40" s="3">
        <v>100</v>
      </c>
      <c r="H40" s="3">
        <v>100</v>
      </c>
      <c r="I40" s="3">
        <v>100</v>
      </c>
      <c r="J40" s="3">
        <v>100</v>
      </c>
      <c r="K40" s="3">
        <v>100</v>
      </c>
      <c r="L40" s="3">
        <v>100</v>
      </c>
      <c r="M40" s="3">
        <v>100</v>
      </c>
    </row>
    <row r="41" spans="1:13" ht="20.149999999999999" customHeight="1" x14ac:dyDescent="0.35">
      <c r="A41" s="71"/>
      <c r="B41" s="75"/>
      <c r="C41" s="2" t="s">
        <v>11</v>
      </c>
      <c r="D41" s="11">
        <v>100</v>
      </c>
      <c r="E41" s="11">
        <v>100</v>
      </c>
      <c r="F41" s="11">
        <v>100</v>
      </c>
      <c r="G41" s="11">
        <v>100</v>
      </c>
      <c r="H41" s="11">
        <v>100</v>
      </c>
      <c r="I41" s="11">
        <v>100</v>
      </c>
      <c r="J41" s="11">
        <v>100</v>
      </c>
      <c r="K41" s="11">
        <v>100</v>
      </c>
      <c r="L41" s="11">
        <v>100</v>
      </c>
      <c r="M41" s="11">
        <v>100</v>
      </c>
    </row>
    <row r="42" spans="1:13" ht="20.149999999999999" customHeight="1" x14ac:dyDescent="0.35">
      <c r="A42" s="67">
        <v>0.05</v>
      </c>
      <c r="B42" s="69" t="s">
        <v>19</v>
      </c>
      <c r="C42" s="3" t="s">
        <v>10</v>
      </c>
      <c r="D42" s="3">
        <v>90</v>
      </c>
      <c r="E42" s="3">
        <v>90</v>
      </c>
      <c r="F42" s="3">
        <v>90</v>
      </c>
      <c r="G42" s="3">
        <v>90</v>
      </c>
      <c r="H42" s="3">
        <v>90</v>
      </c>
      <c r="I42" s="3">
        <v>90</v>
      </c>
      <c r="J42" s="3">
        <v>90</v>
      </c>
      <c r="K42" s="3">
        <v>90</v>
      </c>
      <c r="L42" s="3">
        <v>90</v>
      </c>
      <c r="M42" s="3">
        <v>90</v>
      </c>
    </row>
    <row r="43" spans="1:13" ht="20.149999999999999" customHeight="1" thickBot="1" x14ac:dyDescent="0.4">
      <c r="A43" s="68"/>
      <c r="B43" s="70"/>
      <c r="C43" s="3" t="s">
        <v>11</v>
      </c>
      <c r="D43" s="11">
        <v>96.96</v>
      </c>
      <c r="E43" s="47">
        <v>100</v>
      </c>
      <c r="F43" s="11">
        <v>100</v>
      </c>
      <c r="G43" s="11">
        <v>100</v>
      </c>
      <c r="H43" s="11">
        <v>100</v>
      </c>
      <c r="I43" s="11">
        <v>100</v>
      </c>
      <c r="J43" s="11">
        <v>100</v>
      </c>
      <c r="K43" s="11">
        <v>100</v>
      </c>
      <c r="L43" s="11">
        <v>100</v>
      </c>
      <c r="M43" s="11">
        <v>100</v>
      </c>
    </row>
    <row r="44" spans="1:13" x14ac:dyDescent="0.35">
      <c r="A44" s="63">
        <v>-7.0000000000000007E-2</v>
      </c>
      <c r="B44" s="66" t="s">
        <v>36</v>
      </c>
      <c r="C44" s="2" t="s">
        <v>10</v>
      </c>
      <c r="D44" s="50">
        <v>96.610000000000554</v>
      </c>
      <c r="E44" s="50">
        <v>96.844096553975916</v>
      </c>
      <c r="F44" s="50">
        <v>101.67732025822372</v>
      </c>
      <c r="G44" s="50">
        <v>100.35319251713838</v>
      </c>
      <c r="H44" s="50">
        <v>102.575907837383</v>
      </c>
      <c r="I44" s="50">
        <v>98.698536901579601</v>
      </c>
      <c r="J44" s="50">
        <v>100.737015010243</v>
      </c>
      <c r="K44" s="50">
        <v>82.696931533288549</v>
      </c>
      <c r="L44" s="50">
        <v>101.86332156477087</v>
      </c>
      <c r="M44" s="50">
        <v>100.15049964363305</v>
      </c>
    </row>
    <row r="45" spans="1:13" x14ac:dyDescent="0.35">
      <c r="A45" s="64"/>
      <c r="B45" s="64"/>
      <c r="C45" s="2" t="s">
        <v>11</v>
      </c>
      <c r="D45" s="50">
        <v>88.13</v>
      </c>
      <c r="E45" s="50">
        <v>89.17</v>
      </c>
      <c r="F45" s="50">
        <v>99.12</v>
      </c>
      <c r="G45" s="50">
        <v>98.12</v>
      </c>
      <c r="H45" s="50">
        <v>93.9</v>
      </c>
      <c r="I45" s="50">
        <v>97.17</v>
      </c>
      <c r="J45" s="50">
        <v>91.74</v>
      </c>
      <c r="K45" s="50">
        <v>62.86</v>
      </c>
      <c r="L45" s="50">
        <v>99.49</v>
      </c>
      <c r="M45" s="50">
        <v>99.08</v>
      </c>
    </row>
    <row r="46" spans="1:13" ht="15" thickBot="1" x14ac:dyDescent="0.4">
      <c r="A46" s="65"/>
      <c r="B46" s="65"/>
      <c r="C46" s="2" t="s">
        <v>14</v>
      </c>
      <c r="D46" s="53">
        <f>D44*0.93</f>
        <v>89.847300000000516</v>
      </c>
      <c r="E46" s="53">
        <f t="shared" ref="E46:M46" si="3">E44*0.93</f>
        <v>90.065009795197611</v>
      </c>
      <c r="F46" s="54">
        <f t="shared" si="3"/>
        <v>94.559907840148057</v>
      </c>
      <c r="G46" s="54">
        <f t="shared" si="3"/>
        <v>93.3284690409387</v>
      </c>
      <c r="H46" s="54">
        <f t="shared" si="3"/>
        <v>95.395594288766191</v>
      </c>
      <c r="I46" s="54">
        <f t="shared" si="3"/>
        <v>91.789639318469028</v>
      </c>
      <c r="J46" s="53">
        <f t="shared" si="3"/>
        <v>93.685423959525991</v>
      </c>
      <c r="K46" s="53">
        <f t="shared" si="3"/>
        <v>76.908146325958356</v>
      </c>
      <c r="L46" s="54">
        <f t="shared" si="3"/>
        <v>94.73288905523691</v>
      </c>
      <c r="M46" s="54">
        <f t="shared" si="3"/>
        <v>93.139964668578742</v>
      </c>
    </row>
    <row r="47" spans="1:13" x14ac:dyDescent="0.35">
      <c r="A47" s="63">
        <v>-0.05</v>
      </c>
      <c r="B47" s="66" t="s">
        <v>38</v>
      </c>
      <c r="C47" s="2" t="s">
        <v>10</v>
      </c>
      <c r="D47" s="3">
        <v>97.12</v>
      </c>
      <c r="E47" s="3">
        <v>98.02</v>
      </c>
      <c r="F47" s="3">
        <v>93.795520881138103</v>
      </c>
      <c r="G47" s="3">
        <v>95.129539295393002</v>
      </c>
      <c r="H47" s="3">
        <v>96.34</v>
      </c>
      <c r="I47" s="3">
        <v>98.55</v>
      </c>
      <c r="J47" s="3">
        <v>99.04</v>
      </c>
      <c r="K47" s="3">
        <v>94.65</v>
      </c>
      <c r="L47" s="3">
        <v>98.39</v>
      </c>
      <c r="M47" s="3">
        <v>98.88</v>
      </c>
    </row>
    <row r="48" spans="1:13" x14ac:dyDescent="0.35">
      <c r="A48" s="64"/>
      <c r="B48" s="64"/>
      <c r="C48" s="2" t="s">
        <v>11</v>
      </c>
      <c r="D48" s="17">
        <v>91.96</v>
      </c>
      <c r="E48" s="17">
        <v>91.12</v>
      </c>
      <c r="F48" s="49">
        <v>95.56</v>
      </c>
      <c r="G48" s="49">
        <v>97.53</v>
      </c>
      <c r="H48" s="17">
        <v>83.24</v>
      </c>
      <c r="I48" s="16">
        <v>97.2</v>
      </c>
      <c r="J48" s="16">
        <v>96.3</v>
      </c>
      <c r="K48" s="17">
        <v>86.56</v>
      </c>
      <c r="L48" s="16">
        <v>94.04</v>
      </c>
      <c r="M48" s="49">
        <v>99.38</v>
      </c>
    </row>
    <row r="49" spans="1:14" ht="15" thickBot="1" x14ac:dyDescent="0.4">
      <c r="A49" s="65"/>
      <c r="B49" s="65"/>
      <c r="C49" s="2" t="s">
        <v>14</v>
      </c>
      <c r="D49" s="17">
        <f>D47*0.95</f>
        <v>92.263999999999996</v>
      </c>
      <c r="E49" s="17">
        <f>E47*0.95</f>
        <v>93.118999999999986</v>
      </c>
      <c r="F49" s="9"/>
      <c r="G49" s="16"/>
      <c r="H49" s="17">
        <f t="shared" ref="H49:L49" si="4">H47*0.95</f>
        <v>91.522999999999996</v>
      </c>
      <c r="I49" s="16">
        <f t="shared" si="4"/>
        <v>93.622499999999988</v>
      </c>
      <c r="J49" s="16">
        <f t="shared" si="4"/>
        <v>94.088000000000008</v>
      </c>
      <c r="K49" s="17">
        <f t="shared" si="4"/>
        <v>89.917500000000004</v>
      </c>
      <c r="L49" s="16">
        <f t="shared" si="4"/>
        <v>93.470500000000001</v>
      </c>
      <c r="M49" s="9"/>
    </row>
    <row r="50" spans="1:14" x14ac:dyDescent="0.35">
      <c r="A50" s="63">
        <v>-0.05</v>
      </c>
      <c r="B50" s="66" t="s">
        <v>37</v>
      </c>
      <c r="C50" s="2" t="s">
        <v>10</v>
      </c>
      <c r="D50" s="9">
        <v>87</v>
      </c>
      <c r="E50" s="9">
        <v>87</v>
      </c>
      <c r="F50" s="9">
        <v>87</v>
      </c>
      <c r="G50" s="9">
        <v>87</v>
      </c>
      <c r="H50" s="9">
        <v>87</v>
      </c>
      <c r="I50" s="9">
        <v>87</v>
      </c>
      <c r="J50" s="9">
        <v>87</v>
      </c>
      <c r="K50" s="9">
        <v>87</v>
      </c>
      <c r="L50" s="9">
        <v>87</v>
      </c>
      <c r="M50" s="9">
        <v>87</v>
      </c>
    </row>
    <row r="51" spans="1:14" x14ac:dyDescent="0.35">
      <c r="A51" s="64"/>
      <c r="B51" s="64"/>
      <c r="C51" s="2" t="s">
        <v>11</v>
      </c>
      <c r="D51" s="16">
        <v>84.94</v>
      </c>
      <c r="E51" s="16">
        <v>86.07</v>
      </c>
      <c r="F51" s="16">
        <v>86.12</v>
      </c>
      <c r="G51" s="16">
        <v>85.92</v>
      </c>
      <c r="H51" s="16">
        <v>84.92</v>
      </c>
      <c r="I51" s="16">
        <v>83.12</v>
      </c>
      <c r="J51" s="16">
        <v>85.34</v>
      </c>
      <c r="K51" s="16">
        <v>83.05</v>
      </c>
      <c r="L51" s="16">
        <v>85.6</v>
      </c>
      <c r="M51" s="16">
        <v>85.18</v>
      </c>
      <c r="N51" s="42"/>
    </row>
    <row r="52" spans="1:14" x14ac:dyDescent="0.35">
      <c r="A52" s="65"/>
      <c r="B52" s="65"/>
      <c r="C52" s="2" t="s">
        <v>14</v>
      </c>
      <c r="D52" s="16">
        <f>D50*0.95</f>
        <v>82.649999999999991</v>
      </c>
      <c r="E52" s="16">
        <f>E50*0.95</f>
        <v>82.649999999999991</v>
      </c>
      <c r="F52" s="16">
        <f t="shared" ref="F52:M52" si="5">F50*0.95</f>
        <v>82.649999999999991</v>
      </c>
      <c r="G52" s="16">
        <f t="shared" si="5"/>
        <v>82.649999999999991</v>
      </c>
      <c r="H52" s="16">
        <f t="shared" si="5"/>
        <v>82.649999999999991</v>
      </c>
      <c r="I52" s="16">
        <f t="shared" si="5"/>
        <v>82.649999999999991</v>
      </c>
      <c r="J52" s="16">
        <f t="shared" si="5"/>
        <v>82.649999999999991</v>
      </c>
      <c r="K52" s="16">
        <f t="shared" si="5"/>
        <v>82.649999999999991</v>
      </c>
      <c r="L52" s="16">
        <f t="shared" si="5"/>
        <v>82.649999999999991</v>
      </c>
      <c r="M52" s="16">
        <f t="shared" si="5"/>
        <v>82.649999999999991</v>
      </c>
    </row>
  </sheetData>
  <mergeCells count="39">
    <mergeCell ref="A50:A52"/>
    <mergeCell ref="B50:B52"/>
    <mergeCell ref="A42:A43"/>
    <mergeCell ref="B42:B43"/>
    <mergeCell ref="A44:A46"/>
    <mergeCell ref="B44:B46"/>
    <mergeCell ref="A47:A49"/>
    <mergeCell ref="B47:B49"/>
    <mergeCell ref="A34:A36"/>
    <mergeCell ref="B34:B36"/>
    <mergeCell ref="A37:A39"/>
    <mergeCell ref="B37:B39"/>
    <mergeCell ref="A40:A41"/>
    <mergeCell ref="B40:B41"/>
    <mergeCell ref="A25:A27"/>
    <mergeCell ref="B25:B27"/>
    <mergeCell ref="A28:A30"/>
    <mergeCell ref="B28:B30"/>
    <mergeCell ref="A31:A33"/>
    <mergeCell ref="B31:B33"/>
    <mergeCell ref="A17:A18"/>
    <mergeCell ref="B17:B18"/>
    <mergeCell ref="A20:A21"/>
    <mergeCell ref="B20:B21"/>
    <mergeCell ref="A22:A24"/>
    <mergeCell ref="B22:B24"/>
    <mergeCell ref="A10:A12"/>
    <mergeCell ref="B10:B12"/>
    <mergeCell ref="A13:A14"/>
    <mergeCell ref="B13:B14"/>
    <mergeCell ref="A15:A16"/>
    <mergeCell ref="B15:B16"/>
    <mergeCell ref="A7:A9"/>
    <mergeCell ref="B7:B9"/>
    <mergeCell ref="B1:M1"/>
    <mergeCell ref="A3:A4"/>
    <mergeCell ref="B3:B4"/>
    <mergeCell ref="A5:A6"/>
    <mergeCell ref="B5:B6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B4D9-769E-4A6E-9FF3-D9129D5CCDA6}">
  <dimension ref="A1:N52"/>
  <sheetViews>
    <sheetView topLeftCell="B1" zoomScaleNormal="100" workbookViewId="0">
      <selection activeCell="B2" sqref="A2:XFD37"/>
    </sheetView>
  </sheetViews>
  <sheetFormatPr baseColWidth="10" defaultRowHeight="14.5" x14ac:dyDescent="0.35"/>
  <cols>
    <col min="1" max="1" width="11.54296875" style="7" customWidth="1"/>
    <col min="2" max="2" width="13.7265625" customWidth="1"/>
    <col min="3" max="3" width="8.7265625" customWidth="1"/>
    <col min="4" max="5" width="14.1796875" customWidth="1"/>
    <col min="6" max="6" width="13.453125" customWidth="1"/>
    <col min="7" max="7" width="12.08984375" customWidth="1"/>
    <col min="8" max="8" width="11.81640625" customWidth="1"/>
    <col min="9" max="9" width="9.81640625" customWidth="1"/>
    <col min="10" max="10" width="13" customWidth="1"/>
    <col min="11" max="11" width="13.7265625" customWidth="1"/>
    <col min="12" max="12" width="13.1796875" customWidth="1"/>
    <col min="13" max="13" width="12.7265625" customWidth="1"/>
    <col min="14" max="14" width="10.81640625" customWidth="1"/>
  </cols>
  <sheetData>
    <row r="1" spans="1:14" ht="17.5" customHeight="1" x14ac:dyDescent="0.35">
      <c r="B1" s="82" t="s">
        <v>42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4"/>
    </row>
    <row r="2" spans="1:14" ht="16" customHeight="1" x14ac:dyDescent="0.35">
      <c r="A2" s="5" t="s">
        <v>17</v>
      </c>
      <c r="B2" s="5" t="s">
        <v>16</v>
      </c>
      <c r="C2" s="6"/>
      <c r="D2" s="1" t="s">
        <v>20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</row>
    <row r="3" spans="1:14" x14ac:dyDescent="0.35">
      <c r="A3" s="73"/>
      <c r="B3" s="85" t="s">
        <v>9</v>
      </c>
      <c r="C3" s="41" t="s">
        <v>10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4" x14ac:dyDescent="0.35">
      <c r="A4" s="68"/>
      <c r="B4" s="86"/>
      <c r="C4" s="41" t="s">
        <v>11</v>
      </c>
      <c r="D4" s="28">
        <v>0.191038672006</v>
      </c>
      <c r="E4" s="29">
        <v>0</v>
      </c>
      <c r="F4" s="29">
        <v>0</v>
      </c>
      <c r="G4" s="28">
        <v>0.92251220368331444</v>
      </c>
      <c r="H4" s="29">
        <v>0</v>
      </c>
      <c r="I4" s="29">
        <v>0</v>
      </c>
      <c r="J4" s="29">
        <v>0</v>
      </c>
      <c r="K4" s="28">
        <v>0.65300706488343496</v>
      </c>
      <c r="L4" s="29">
        <v>0</v>
      </c>
      <c r="M4" s="29">
        <v>0</v>
      </c>
    </row>
    <row r="5" spans="1:14" x14ac:dyDescent="0.35">
      <c r="A5" s="72"/>
      <c r="B5" s="87" t="s">
        <v>12</v>
      </c>
      <c r="C5" s="41" t="s">
        <v>10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</row>
    <row r="6" spans="1:14" x14ac:dyDescent="0.35">
      <c r="A6" s="68"/>
      <c r="B6" s="86"/>
      <c r="C6" s="41" t="s">
        <v>11</v>
      </c>
      <c r="D6" s="53">
        <v>13.5637457124354</v>
      </c>
      <c r="E6" s="53">
        <v>24.339931483092801</v>
      </c>
      <c r="F6" s="52">
        <v>0</v>
      </c>
      <c r="G6" s="53">
        <v>45.203097980482404</v>
      </c>
      <c r="H6" s="52">
        <v>0</v>
      </c>
      <c r="I6" s="52">
        <v>0</v>
      </c>
      <c r="J6" s="52">
        <v>0</v>
      </c>
      <c r="K6" s="53">
        <v>42.44545921742327</v>
      </c>
      <c r="L6" s="52">
        <v>0</v>
      </c>
      <c r="M6" s="52">
        <v>0</v>
      </c>
    </row>
    <row r="7" spans="1:14" x14ac:dyDescent="0.35">
      <c r="A7" s="72" t="s">
        <v>28</v>
      </c>
      <c r="B7" s="72" t="s">
        <v>22</v>
      </c>
      <c r="C7" s="3" t="s">
        <v>10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4" x14ac:dyDescent="0.35">
      <c r="A8" s="73"/>
      <c r="B8" s="73"/>
      <c r="C8" s="3" t="s">
        <v>11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4" x14ac:dyDescent="0.35">
      <c r="A9" s="68"/>
      <c r="B9" s="68"/>
      <c r="C9" s="3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</row>
    <row r="10" spans="1:14" x14ac:dyDescent="0.35">
      <c r="A10" s="67">
        <v>-0.05</v>
      </c>
      <c r="B10" s="69" t="s">
        <v>27</v>
      </c>
      <c r="C10" s="3" t="s">
        <v>10</v>
      </c>
      <c r="D10" s="3">
        <v>90</v>
      </c>
      <c r="E10" s="3">
        <v>90</v>
      </c>
      <c r="F10" s="3">
        <v>90</v>
      </c>
      <c r="G10" s="3">
        <v>90</v>
      </c>
      <c r="H10" s="3">
        <v>90</v>
      </c>
      <c r="I10" s="3">
        <v>90</v>
      </c>
      <c r="J10" s="3">
        <v>90</v>
      </c>
      <c r="K10" s="3">
        <v>90</v>
      </c>
      <c r="L10" s="3">
        <v>90</v>
      </c>
      <c r="M10" s="3">
        <v>90</v>
      </c>
    </row>
    <row r="11" spans="1:14" x14ac:dyDescent="0.35">
      <c r="A11" s="81"/>
      <c r="B11" s="76"/>
      <c r="C11" s="3" t="s">
        <v>11</v>
      </c>
      <c r="D11" s="28">
        <v>83.31</v>
      </c>
      <c r="E11" s="28">
        <v>70.95</v>
      </c>
      <c r="F11" s="29">
        <v>97.91</v>
      </c>
      <c r="G11" s="28">
        <v>44.47</v>
      </c>
      <c r="H11" s="29">
        <v>95.21</v>
      </c>
      <c r="I11" s="29">
        <v>97.59</v>
      </c>
      <c r="J11" s="29">
        <v>96.17</v>
      </c>
      <c r="K11" s="28">
        <v>47.09</v>
      </c>
      <c r="L11" s="29">
        <v>96.14</v>
      </c>
      <c r="M11" s="29">
        <v>93.75</v>
      </c>
    </row>
    <row r="12" spans="1:14" x14ac:dyDescent="0.35">
      <c r="A12" s="77"/>
      <c r="B12" s="70"/>
      <c r="C12" s="19" t="s">
        <v>14</v>
      </c>
      <c r="D12" s="12">
        <f>D10*0.95</f>
        <v>85.5</v>
      </c>
      <c r="E12" s="3"/>
      <c r="F12" s="3"/>
      <c r="G12" s="3"/>
      <c r="H12" s="30"/>
      <c r="I12" s="3"/>
      <c r="J12" s="3"/>
      <c r="K12" s="3"/>
      <c r="L12" s="3"/>
      <c r="M12" s="3"/>
    </row>
    <row r="13" spans="1:14" s="2" customFormat="1" x14ac:dyDescent="0.35">
      <c r="A13" s="67"/>
      <c r="B13" s="69" t="s">
        <v>30</v>
      </c>
      <c r="C13" s="3" t="s">
        <v>10</v>
      </c>
      <c r="D13" s="3">
        <v>95</v>
      </c>
      <c r="E13" s="3">
        <v>95</v>
      </c>
      <c r="F13" s="3">
        <v>95</v>
      </c>
      <c r="G13" s="3">
        <v>95</v>
      </c>
      <c r="H13" s="3">
        <v>95</v>
      </c>
      <c r="I13" s="3">
        <v>95</v>
      </c>
      <c r="J13" s="3">
        <v>95</v>
      </c>
      <c r="K13" s="3">
        <v>95</v>
      </c>
      <c r="L13" s="3">
        <v>95</v>
      </c>
      <c r="M13" s="3">
        <v>95</v>
      </c>
      <c r="N13" s="27"/>
    </row>
    <row r="14" spans="1:14" s="2" customFormat="1" x14ac:dyDescent="0.35">
      <c r="A14" s="77"/>
      <c r="B14" s="70"/>
      <c r="C14" s="3" t="s">
        <v>11</v>
      </c>
      <c r="D14" s="12">
        <v>92.19</v>
      </c>
      <c r="E14" s="25">
        <v>96</v>
      </c>
      <c r="F14" s="25">
        <v>97</v>
      </c>
      <c r="G14" s="11">
        <v>95</v>
      </c>
      <c r="H14" s="12">
        <v>88</v>
      </c>
      <c r="I14" s="26">
        <v>94</v>
      </c>
      <c r="J14" s="26">
        <v>84.92</v>
      </c>
      <c r="K14" s="25">
        <v>95</v>
      </c>
      <c r="L14" s="26">
        <v>86</v>
      </c>
      <c r="M14" s="12">
        <v>92</v>
      </c>
      <c r="N14" s="27"/>
    </row>
    <row r="15" spans="1:14" s="2" customFormat="1" x14ac:dyDescent="0.35">
      <c r="A15" s="67"/>
      <c r="B15" s="69" t="s">
        <v>39</v>
      </c>
      <c r="C15" s="3" t="s">
        <v>10</v>
      </c>
      <c r="D15" s="3">
        <v>80</v>
      </c>
      <c r="E15" s="3">
        <v>80</v>
      </c>
      <c r="F15" s="3">
        <v>80</v>
      </c>
      <c r="G15" s="3">
        <v>80</v>
      </c>
      <c r="H15" s="3">
        <v>80</v>
      </c>
      <c r="I15" s="3">
        <v>80</v>
      </c>
      <c r="J15" s="3">
        <v>80</v>
      </c>
      <c r="K15" s="3">
        <v>80</v>
      </c>
      <c r="L15" s="3">
        <v>80</v>
      </c>
      <c r="M15" s="3">
        <v>80</v>
      </c>
    </row>
    <row r="16" spans="1:14" s="2" customFormat="1" x14ac:dyDescent="0.35">
      <c r="A16" s="77"/>
      <c r="B16" s="70"/>
      <c r="C16" s="3" t="s">
        <v>11</v>
      </c>
      <c r="D16" s="11">
        <v>92.9</v>
      </c>
      <c r="E16" s="25">
        <v>89.15</v>
      </c>
      <c r="F16" s="25">
        <v>95.05</v>
      </c>
      <c r="G16" s="11">
        <v>84.9</v>
      </c>
      <c r="H16" s="11">
        <v>92.04</v>
      </c>
      <c r="I16" s="25">
        <v>95.96</v>
      </c>
      <c r="J16" s="25">
        <v>97.3</v>
      </c>
      <c r="K16" s="25">
        <v>93.62</v>
      </c>
      <c r="L16" s="25">
        <v>96.47</v>
      </c>
      <c r="M16" s="11">
        <v>84.5</v>
      </c>
    </row>
    <row r="17" spans="1:14" x14ac:dyDescent="0.35">
      <c r="A17" s="74" t="s">
        <v>33</v>
      </c>
      <c r="B17" s="75" t="s">
        <v>31</v>
      </c>
      <c r="C17" s="18" t="s">
        <v>10</v>
      </c>
      <c r="D17" s="18">
        <v>90</v>
      </c>
      <c r="E17" s="18">
        <v>90</v>
      </c>
      <c r="F17" s="18">
        <v>90</v>
      </c>
      <c r="G17" s="18">
        <v>90</v>
      </c>
      <c r="H17" s="18">
        <v>90</v>
      </c>
      <c r="I17" s="18">
        <v>90</v>
      </c>
      <c r="J17" s="18">
        <v>90</v>
      </c>
      <c r="K17" s="18">
        <v>90</v>
      </c>
      <c r="L17" s="18">
        <v>90</v>
      </c>
      <c r="M17" s="18">
        <v>90</v>
      </c>
    </row>
    <row r="18" spans="1:14" x14ac:dyDescent="0.35">
      <c r="A18" s="74"/>
      <c r="B18" s="75"/>
      <c r="C18" s="3" t="s">
        <v>11</v>
      </c>
      <c r="D18" s="12">
        <v>32.49</v>
      </c>
      <c r="E18" s="12">
        <v>51.43</v>
      </c>
      <c r="F18" s="12">
        <v>64.52</v>
      </c>
      <c r="G18" s="12">
        <v>5.23</v>
      </c>
      <c r="H18" s="12">
        <v>57.89</v>
      </c>
      <c r="I18" s="12">
        <v>37.21</v>
      </c>
      <c r="J18" s="12">
        <v>42.31</v>
      </c>
      <c r="K18" s="12">
        <v>25.74</v>
      </c>
      <c r="L18" s="12">
        <v>37.5</v>
      </c>
      <c r="M18" s="12">
        <v>45.45</v>
      </c>
    </row>
    <row r="19" spans="1:14" x14ac:dyDescent="0.35">
      <c r="A19" s="40"/>
      <c r="B19" s="39"/>
      <c r="C19" s="3"/>
      <c r="D19" s="12"/>
      <c r="E19" s="12"/>
      <c r="F19" s="48"/>
      <c r="G19" s="12"/>
      <c r="H19" s="12"/>
      <c r="I19" s="12"/>
      <c r="J19" s="12"/>
      <c r="K19" s="12"/>
      <c r="L19" s="12"/>
      <c r="M19" s="12"/>
    </row>
    <row r="20" spans="1:14" x14ac:dyDescent="0.35">
      <c r="A20" s="67"/>
      <c r="B20" s="69" t="s">
        <v>32</v>
      </c>
      <c r="C20" s="3" t="s">
        <v>10</v>
      </c>
      <c r="D20" s="20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</row>
    <row r="21" spans="1:14" x14ac:dyDescent="0.35">
      <c r="A21" s="77"/>
      <c r="B21" s="70"/>
      <c r="C21" s="3" t="s">
        <v>11</v>
      </c>
      <c r="D21" s="38">
        <v>922219.47</v>
      </c>
      <c r="E21" s="38">
        <v>261533.31</v>
      </c>
      <c r="F21" s="24"/>
      <c r="G21" s="38">
        <v>273800.08</v>
      </c>
      <c r="H21" s="23"/>
      <c r="I21" s="23"/>
      <c r="J21" s="22"/>
      <c r="K21" s="38">
        <v>386886.08</v>
      </c>
      <c r="L21" s="36"/>
      <c r="M21" s="23"/>
    </row>
    <row r="22" spans="1:14" x14ac:dyDescent="0.35">
      <c r="A22" s="78" t="s">
        <v>29</v>
      </c>
      <c r="B22" s="72" t="s">
        <v>13</v>
      </c>
      <c r="C22" s="2" t="s">
        <v>10</v>
      </c>
      <c r="D22" s="43">
        <v>5.140187330929499</v>
      </c>
      <c r="E22" s="43">
        <v>4.9084918260792776</v>
      </c>
      <c r="F22" s="43">
        <v>4.5833923031904922</v>
      </c>
      <c r="G22" s="43">
        <v>3.9064322871439408</v>
      </c>
      <c r="H22" s="43">
        <v>5.2322572735551693</v>
      </c>
      <c r="I22" s="43">
        <v>6.0734852915825606</v>
      </c>
      <c r="J22" s="43">
        <v>5.0633994121745012</v>
      </c>
      <c r="K22" s="43">
        <v>5.8712378379539203</v>
      </c>
      <c r="L22" s="43">
        <v>7.1411674402245957</v>
      </c>
      <c r="M22" s="43">
        <v>4.9909538960633855</v>
      </c>
      <c r="N22" s="51"/>
    </row>
    <row r="23" spans="1:14" x14ac:dyDescent="0.35">
      <c r="A23" s="79"/>
      <c r="B23" s="73"/>
      <c r="C23" s="2" t="s">
        <v>11</v>
      </c>
      <c r="D23" s="60">
        <v>5.1730405346978845</v>
      </c>
      <c r="E23" s="33">
        <v>5.3431676663156447</v>
      </c>
      <c r="F23" s="33">
        <v>4.0116038481813385</v>
      </c>
      <c r="G23" s="31">
        <v>2.6622724315956754</v>
      </c>
      <c r="H23" s="60">
        <v>5.44830310723518</v>
      </c>
      <c r="I23" s="31">
        <v>7.5876732030310032</v>
      </c>
      <c r="J23" s="33">
        <v>5.4611716561239056</v>
      </c>
      <c r="K23" s="60">
        <v>5.4329761388286331</v>
      </c>
      <c r="L23" s="60">
        <v>7.5472935267857144</v>
      </c>
      <c r="M23" s="33">
        <v>4.3845176198729057</v>
      </c>
      <c r="N23" s="51"/>
    </row>
    <row r="24" spans="1:14" ht="15" thickBot="1" x14ac:dyDescent="0.4">
      <c r="A24" s="80"/>
      <c r="B24" s="68"/>
      <c r="C24" s="2" t="s">
        <v>14</v>
      </c>
      <c r="D24" s="30"/>
      <c r="E24" s="32">
        <f t="shared" ref="E24:J24" si="0">E22*1.1</f>
        <v>5.3993410086872053</v>
      </c>
      <c r="F24" s="32">
        <f>F22*0.8</f>
        <v>3.6667138425523937</v>
      </c>
      <c r="G24" s="26">
        <f>G22*0.8</f>
        <v>3.1251458297151529</v>
      </c>
      <c r="H24" s="30"/>
      <c r="I24" s="26">
        <f>I22*1.2</f>
        <v>7.2881823498990723</v>
      </c>
      <c r="J24" s="32">
        <f t="shared" si="0"/>
        <v>5.5697393533919515</v>
      </c>
      <c r="K24" s="30"/>
      <c r="L24" s="30"/>
      <c r="M24" s="32">
        <f>M22*0.8</f>
        <v>3.9927631168507087</v>
      </c>
      <c r="N24" s="51"/>
    </row>
    <row r="25" spans="1:14" x14ac:dyDescent="0.35">
      <c r="A25" s="63">
        <v>-0.03</v>
      </c>
      <c r="B25" s="66" t="s">
        <v>23</v>
      </c>
      <c r="C25" s="2" t="s">
        <v>10</v>
      </c>
      <c r="D25" s="44">
        <v>56.368837055</v>
      </c>
      <c r="E25" s="44">
        <v>66.363474228000001</v>
      </c>
      <c r="F25" s="44">
        <v>51.830913529</v>
      </c>
      <c r="G25" s="44">
        <v>42.491281604000001</v>
      </c>
      <c r="H25" s="44">
        <v>64.835066331999997</v>
      </c>
      <c r="I25" s="44">
        <v>48.135629027</v>
      </c>
      <c r="J25" s="44">
        <v>56.920980925999999</v>
      </c>
      <c r="K25" s="44">
        <v>61.056530842000001</v>
      </c>
      <c r="L25" s="44">
        <v>55.395561577999999</v>
      </c>
      <c r="M25" s="44">
        <v>52.903780068000003</v>
      </c>
    </row>
    <row r="26" spans="1:14" x14ac:dyDescent="0.35">
      <c r="A26" s="64"/>
      <c r="B26" s="64"/>
      <c r="C26" s="2" t="s">
        <v>11</v>
      </c>
      <c r="D26" s="29">
        <v>59.096317202000002</v>
      </c>
      <c r="E26" s="29">
        <v>67.270769782000002</v>
      </c>
      <c r="F26" s="29">
        <v>52.201750947000001</v>
      </c>
      <c r="G26" s="29">
        <v>49.654502266999998</v>
      </c>
      <c r="H26" s="29">
        <v>65.157322398999995</v>
      </c>
      <c r="I26" s="29">
        <v>52.820035185000002</v>
      </c>
      <c r="J26" s="29">
        <v>60.212998360999997</v>
      </c>
      <c r="K26" s="29">
        <v>65.024871563999994</v>
      </c>
      <c r="L26" s="29">
        <v>56.465005931</v>
      </c>
      <c r="M26" s="29">
        <v>54.215807075999997</v>
      </c>
    </row>
    <row r="27" spans="1:14" x14ac:dyDescent="0.35">
      <c r="A27" s="65"/>
      <c r="B27" s="65"/>
      <c r="C27" s="2" t="s">
        <v>14</v>
      </c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4" x14ac:dyDescent="0.35">
      <c r="A28" s="71">
        <v>7.0000000000000007E-2</v>
      </c>
      <c r="B28" s="72" t="s">
        <v>41</v>
      </c>
      <c r="C28" s="2" t="s">
        <v>10</v>
      </c>
      <c r="D28" s="43">
        <v>6.9155080900000003</v>
      </c>
      <c r="E28" s="43">
        <v>4.9614876240000001</v>
      </c>
      <c r="F28" s="43">
        <v>4.2110611980000003</v>
      </c>
      <c r="G28" s="43">
        <v>3.6862398970000001</v>
      </c>
      <c r="H28" s="43">
        <v>13.838306136</v>
      </c>
      <c r="I28" s="43">
        <v>6.9828524850000004</v>
      </c>
      <c r="J28" s="43">
        <v>7.0389178599999997</v>
      </c>
      <c r="K28" s="43">
        <v>9.7202169380000001</v>
      </c>
      <c r="L28" s="43">
        <v>5.5719987790000003</v>
      </c>
      <c r="M28" s="43">
        <v>3.2182030770000001</v>
      </c>
    </row>
    <row r="29" spans="1:14" x14ac:dyDescent="0.35">
      <c r="A29" s="71"/>
      <c r="B29" s="73"/>
      <c r="C29" s="2" t="s">
        <v>11</v>
      </c>
      <c r="D29" s="60">
        <v>5.1762448499999998</v>
      </c>
      <c r="E29" s="60">
        <v>3.51804447</v>
      </c>
      <c r="F29" s="60">
        <v>4.0892443360000001</v>
      </c>
      <c r="G29" s="60">
        <v>3.1999593740000001</v>
      </c>
      <c r="H29" s="60">
        <v>8.4828400510000002</v>
      </c>
      <c r="I29" s="60">
        <v>5.5400956280000004</v>
      </c>
      <c r="J29" s="33">
        <v>7.4669113779999998</v>
      </c>
      <c r="K29" s="60">
        <v>7.6057995480000002</v>
      </c>
      <c r="L29" s="60">
        <v>3.45889413</v>
      </c>
      <c r="M29" s="60">
        <v>2.6196772350000002</v>
      </c>
    </row>
    <row r="30" spans="1:14" x14ac:dyDescent="0.35">
      <c r="A30" s="71"/>
      <c r="B30" s="68"/>
      <c r="C30" s="2" t="s">
        <v>14</v>
      </c>
      <c r="D30" s="43"/>
      <c r="E30" s="43"/>
      <c r="F30" s="30"/>
      <c r="G30" s="43"/>
      <c r="H30" s="43"/>
      <c r="I30" s="43"/>
      <c r="J30" s="32">
        <f>J28*1.07</f>
        <v>7.5316421102</v>
      </c>
      <c r="K30" s="30"/>
      <c r="L30" s="43"/>
      <c r="M30" s="30"/>
    </row>
    <row r="31" spans="1:14" x14ac:dyDescent="0.35">
      <c r="A31" s="71">
        <v>0.1</v>
      </c>
      <c r="B31" s="69" t="s">
        <v>34</v>
      </c>
      <c r="C31" s="2" t="s">
        <v>10</v>
      </c>
      <c r="D31" s="8">
        <v>16.3</v>
      </c>
      <c r="E31" s="8">
        <v>10.37</v>
      </c>
      <c r="F31" s="8">
        <v>8.1999999999999993</v>
      </c>
      <c r="G31" s="8">
        <v>8.33</v>
      </c>
      <c r="H31" s="8">
        <v>20.75</v>
      </c>
      <c r="I31" s="8">
        <v>21.48</v>
      </c>
      <c r="J31" s="8">
        <v>12.24</v>
      </c>
      <c r="K31" s="8">
        <v>14.39</v>
      </c>
      <c r="L31" s="8">
        <v>7.88</v>
      </c>
      <c r="M31" s="8">
        <v>6.5</v>
      </c>
    </row>
    <row r="32" spans="1:14" x14ac:dyDescent="0.35">
      <c r="A32" s="71"/>
      <c r="B32" s="76"/>
      <c r="C32" s="2" t="s">
        <v>11</v>
      </c>
      <c r="D32" s="15">
        <v>15.8</v>
      </c>
      <c r="E32" s="15">
        <v>8.8800000000000008</v>
      </c>
      <c r="F32" s="15">
        <v>8.11</v>
      </c>
      <c r="G32" s="13">
        <v>8.43</v>
      </c>
      <c r="H32" s="15">
        <v>20.38</v>
      </c>
      <c r="I32" s="15">
        <v>21.25</v>
      </c>
      <c r="J32" s="15">
        <v>11.65</v>
      </c>
      <c r="K32" s="15">
        <v>13.9</v>
      </c>
      <c r="L32" s="15">
        <v>7.67</v>
      </c>
      <c r="M32" s="15">
        <v>6.14</v>
      </c>
    </row>
    <row r="33" spans="1:13" x14ac:dyDescent="0.35">
      <c r="A33" s="71"/>
      <c r="B33" s="70"/>
      <c r="C33" s="2" t="s">
        <v>14</v>
      </c>
      <c r="D33" s="3"/>
      <c r="E33" s="3"/>
      <c r="F33" s="3"/>
      <c r="G33" s="4">
        <f>G31*1.1</f>
        <v>9.1630000000000003</v>
      </c>
      <c r="H33" s="3"/>
      <c r="I33" s="3"/>
      <c r="J33" s="3"/>
      <c r="K33" s="3"/>
      <c r="L33" s="3"/>
      <c r="M33" s="3"/>
    </row>
    <row r="34" spans="1:13" x14ac:dyDescent="0.35">
      <c r="A34" s="71">
        <v>7.0000000000000007E-2</v>
      </c>
      <c r="B34" s="72" t="s">
        <v>35</v>
      </c>
      <c r="C34" s="2" t="s">
        <v>10</v>
      </c>
      <c r="D34" s="43">
        <v>3.4139999150000002</v>
      </c>
      <c r="E34" s="43">
        <v>4.6300337200000001</v>
      </c>
      <c r="F34" s="43">
        <v>1.0819843650000001</v>
      </c>
      <c r="G34" s="43">
        <v>2.337601158</v>
      </c>
      <c r="H34" s="43">
        <v>3.5923063260000001</v>
      </c>
      <c r="I34" s="43">
        <v>4.5880535030000003</v>
      </c>
      <c r="J34" s="43">
        <v>0.95362106599999996</v>
      </c>
      <c r="K34" s="43">
        <v>7.5231827600000001</v>
      </c>
      <c r="L34" s="43">
        <v>1.0022162859999999</v>
      </c>
      <c r="M34" s="43">
        <v>0.74200096000000004</v>
      </c>
    </row>
    <row r="35" spans="1:13" x14ac:dyDescent="0.35">
      <c r="A35" s="71"/>
      <c r="B35" s="73"/>
      <c r="C35" s="2" t="s">
        <v>11</v>
      </c>
      <c r="D35" s="60">
        <v>2.4507364589999998</v>
      </c>
      <c r="E35" s="60">
        <v>2.2737747690000001</v>
      </c>
      <c r="F35" s="60">
        <v>1.049780333</v>
      </c>
      <c r="G35" s="60">
        <v>1.7545797839999999</v>
      </c>
      <c r="H35" s="33">
        <v>3.8348236600000001</v>
      </c>
      <c r="I35" s="60">
        <v>2.132907077</v>
      </c>
      <c r="J35" s="31">
        <v>1.135314414</v>
      </c>
      <c r="K35" s="60">
        <v>5.4771414749999998</v>
      </c>
      <c r="L35" s="31">
        <v>1.1625545150000001</v>
      </c>
      <c r="M35" s="60">
        <v>0.478365286</v>
      </c>
    </row>
    <row r="36" spans="1:13" x14ac:dyDescent="0.35">
      <c r="A36" s="71"/>
      <c r="B36" s="68"/>
      <c r="C36" s="2" t="s">
        <v>14</v>
      </c>
      <c r="D36" s="44"/>
      <c r="E36" s="44"/>
      <c r="F36" s="44"/>
      <c r="G36" s="44"/>
      <c r="H36" s="59">
        <f t="shared" ref="H36:L36" si="1">H34*1.07</f>
        <v>3.8437677688200003</v>
      </c>
      <c r="I36" s="44"/>
      <c r="J36" s="28">
        <f t="shared" si="1"/>
        <v>1.02037454062</v>
      </c>
      <c r="K36" s="44"/>
      <c r="L36" s="28">
        <f t="shared" si="1"/>
        <v>1.0723714260199999</v>
      </c>
      <c r="M36" s="44"/>
    </row>
    <row r="37" spans="1:13" x14ac:dyDescent="0.35">
      <c r="A37" s="74" t="s">
        <v>26</v>
      </c>
      <c r="B37" s="75" t="s">
        <v>18</v>
      </c>
      <c r="C37" s="2" t="s">
        <v>10</v>
      </c>
      <c r="D37" s="3">
        <v>24</v>
      </c>
      <c r="E37" s="3">
        <v>24</v>
      </c>
      <c r="F37" s="3">
        <v>24</v>
      </c>
      <c r="G37" s="3">
        <v>24</v>
      </c>
      <c r="H37" s="3">
        <v>24</v>
      </c>
      <c r="I37" s="3">
        <v>24</v>
      </c>
      <c r="J37" s="3">
        <v>24</v>
      </c>
      <c r="K37" s="3">
        <v>24</v>
      </c>
      <c r="L37" s="3">
        <v>24</v>
      </c>
      <c r="M37" s="3">
        <v>24</v>
      </c>
    </row>
    <row r="38" spans="1:13" x14ac:dyDescent="0.35">
      <c r="A38" s="71"/>
      <c r="B38" s="75"/>
      <c r="C38" s="2" t="s">
        <v>11</v>
      </c>
      <c r="D38" s="25">
        <f>AVERAGE(E38:M38)</f>
        <v>25.777777777777779</v>
      </c>
      <c r="E38" s="12">
        <v>35</v>
      </c>
      <c r="F38" s="11">
        <v>25</v>
      </c>
      <c r="G38" s="11">
        <v>25</v>
      </c>
      <c r="H38" s="11">
        <v>25</v>
      </c>
      <c r="I38" s="11">
        <v>25</v>
      </c>
      <c r="J38" s="11">
        <v>24</v>
      </c>
      <c r="K38" s="11">
        <v>24</v>
      </c>
      <c r="L38" s="11">
        <v>26</v>
      </c>
      <c r="M38" s="11">
        <v>23</v>
      </c>
    </row>
    <row r="39" spans="1:13" x14ac:dyDescent="0.35">
      <c r="A39" s="71"/>
      <c r="B39" s="75"/>
      <c r="C39" s="2" t="s">
        <v>14</v>
      </c>
      <c r="D39" s="15">
        <f>D37*1.1</f>
        <v>26.400000000000002</v>
      </c>
      <c r="E39" s="14">
        <f>E37*1.2</f>
        <v>28.799999999999997</v>
      </c>
      <c r="F39" s="15">
        <f>F37*1.1</f>
        <v>26.400000000000002</v>
      </c>
      <c r="G39" s="15">
        <f>G37*1.1</f>
        <v>26.400000000000002</v>
      </c>
      <c r="H39" s="15">
        <f t="shared" ref="H39:L39" si="2">H37*1.1</f>
        <v>26.400000000000002</v>
      </c>
      <c r="I39" s="15">
        <f t="shared" si="2"/>
        <v>26.400000000000002</v>
      </c>
      <c r="J39" s="8"/>
      <c r="K39" s="8"/>
      <c r="L39" s="15">
        <f t="shared" si="2"/>
        <v>26.400000000000002</v>
      </c>
      <c r="M39" s="15">
        <f>M37*0.9</f>
        <v>21.6</v>
      </c>
    </row>
    <row r="40" spans="1:13" ht="20.149999999999999" customHeight="1" x14ac:dyDescent="0.35">
      <c r="A40" s="71" t="s">
        <v>25</v>
      </c>
      <c r="B40" s="75" t="s">
        <v>24</v>
      </c>
      <c r="C40" s="2" t="s">
        <v>10</v>
      </c>
      <c r="D40" s="3">
        <v>100</v>
      </c>
      <c r="E40" s="3">
        <v>100</v>
      </c>
      <c r="F40" s="3">
        <v>100</v>
      </c>
      <c r="G40" s="3">
        <v>100</v>
      </c>
      <c r="H40" s="3">
        <v>100</v>
      </c>
      <c r="I40" s="3">
        <v>100</v>
      </c>
      <c r="J40" s="3">
        <v>100</v>
      </c>
      <c r="K40" s="3">
        <v>100</v>
      </c>
      <c r="L40" s="3">
        <v>100</v>
      </c>
      <c r="M40" s="3">
        <v>100</v>
      </c>
    </row>
    <row r="41" spans="1:13" ht="20.149999999999999" customHeight="1" x14ac:dyDescent="0.35">
      <c r="A41" s="71"/>
      <c r="B41" s="75"/>
      <c r="C41" s="2" t="s">
        <v>11</v>
      </c>
      <c r="D41" s="11">
        <v>100</v>
      </c>
      <c r="E41" s="11">
        <v>100</v>
      </c>
      <c r="F41" s="11">
        <v>100</v>
      </c>
      <c r="G41" s="11">
        <v>100</v>
      </c>
      <c r="H41" s="11">
        <v>100</v>
      </c>
      <c r="I41" s="11">
        <v>100</v>
      </c>
      <c r="J41" s="11">
        <v>100</v>
      </c>
      <c r="K41" s="11">
        <v>100</v>
      </c>
      <c r="L41" s="11">
        <v>100</v>
      </c>
      <c r="M41" s="11">
        <v>100</v>
      </c>
    </row>
    <row r="42" spans="1:13" ht="20.149999999999999" customHeight="1" x14ac:dyDescent="0.35">
      <c r="A42" s="67">
        <v>0.05</v>
      </c>
      <c r="B42" s="69" t="s">
        <v>19</v>
      </c>
      <c r="C42" s="3" t="s">
        <v>10</v>
      </c>
      <c r="D42" s="3">
        <v>90</v>
      </c>
      <c r="E42" s="3">
        <v>90</v>
      </c>
      <c r="F42" s="3">
        <v>90</v>
      </c>
      <c r="G42" s="3">
        <v>90</v>
      </c>
      <c r="H42" s="3">
        <v>90</v>
      </c>
      <c r="I42" s="3">
        <v>90</v>
      </c>
      <c r="J42" s="3">
        <v>90</v>
      </c>
      <c r="K42" s="3">
        <v>90</v>
      </c>
      <c r="L42" s="3">
        <v>90</v>
      </c>
      <c r="M42" s="3">
        <v>90</v>
      </c>
    </row>
    <row r="43" spans="1:13" ht="20.149999999999999" customHeight="1" thickBot="1" x14ac:dyDescent="0.4">
      <c r="A43" s="68"/>
      <c r="B43" s="70"/>
      <c r="C43" s="3" t="s">
        <v>11</v>
      </c>
      <c r="D43" s="11">
        <v>95.97</v>
      </c>
      <c r="E43" s="47">
        <v>100</v>
      </c>
      <c r="F43" s="11">
        <v>100</v>
      </c>
      <c r="G43" s="11">
        <v>100</v>
      </c>
      <c r="H43" s="11">
        <v>100</v>
      </c>
      <c r="I43" s="11">
        <v>98.28</v>
      </c>
      <c r="J43" s="11">
        <v>95.69</v>
      </c>
      <c r="K43" s="11">
        <v>100</v>
      </c>
      <c r="L43" s="11">
        <v>100</v>
      </c>
      <c r="M43" s="11">
        <v>100</v>
      </c>
    </row>
    <row r="44" spans="1:13" x14ac:dyDescent="0.35">
      <c r="A44" s="63">
        <v>-7.0000000000000007E-2</v>
      </c>
      <c r="B44" s="66" t="s">
        <v>36</v>
      </c>
      <c r="C44" s="2" t="s">
        <v>10</v>
      </c>
      <c r="D44" s="50">
        <v>96.610000000010245</v>
      </c>
      <c r="E44" s="50">
        <v>98.186135983952099</v>
      </c>
      <c r="F44" s="50">
        <v>101.30213731300678</v>
      </c>
      <c r="G44" s="50">
        <v>100.28102667390294</v>
      </c>
      <c r="H44" s="50">
        <v>102.27975401877399</v>
      </c>
      <c r="I44" s="50">
        <v>99.459904151220769</v>
      </c>
      <c r="J44" s="50">
        <v>100.85464264120584</v>
      </c>
      <c r="K44" s="50">
        <v>82.230847141539044</v>
      </c>
      <c r="L44" s="50">
        <v>101.37983730854303</v>
      </c>
      <c r="M44" s="50">
        <v>101.19371209033082</v>
      </c>
    </row>
    <row r="45" spans="1:13" x14ac:dyDescent="0.35">
      <c r="A45" s="64"/>
      <c r="B45" s="64"/>
      <c r="C45" s="2" t="s">
        <v>11</v>
      </c>
      <c r="D45" s="53">
        <v>88.130378163033342</v>
      </c>
      <c r="E45" s="53">
        <v>89.172879199999997</v>
      </c>
      <c r="F45" s="54">
        <v>99.119485699999998</v>
      </c>
      <c r="G45" s="54">
        <v>98.117412900000005</v>
      </c>
      <c r="H45" s="53">
        <v>93.903160700000001</v>
      </c>
      <c r="I45" s="54">
        <v>97.167642700000002</v>
      </c>
      <c r="J45" s="53">
        <v>91.740271500000006</v>
      </c>
      <c r="K45" s="53">
        <v>62.855117700000001</v>
      </c>
      <c r="L45" s="54">
        <v>99.492034320317941</v>
      </c>
      <c r="M45" s="54">
        <v>99.084641500000004</v>
      </c>
    </row>
    <row r="46" spans="1:13" ht="15" thickBot="1" x14ac:dyDescent="0.4">
      <c r="A46" s="65"/>
      <c r="B46" s="65"/>
      <c r="C46" s="2" t="s">
        <v>14</v>
      </c>
      <c r="D46" s="53">
        <f>D44*0.93</f>
        <v>89.84730000000954</v>
      </c>
      <c r="E46" s="53">
        <f>E44*0.93</f>
        <v>91.31310646507545</v>
      </c>
      <c r="F46" s="54">
        <f t="shared" ref="F46:M46" si="3">F44*0.93</f>
        <v>94.210987701096315</v>
      </c>
      <c r="G46" s="54">
        <f t="shared" si="3"/>
        <v>93.261354806729742</v>
      </c>
      <c r="H46" s="53">
        <f t="shared" si="3"/>
        <v>95.120171237459815</v>
      </c>
      <c r="I46" s="54">
        <f t="shared" si="3"/>
        <v>92.497710860635323</v>
      </c>
      <c r="J46" s="53">
        <f t="shared" si="3"/>
        <v>93.794817656321442</v>
      </c>
      <c r="K46" s="53">
        <f t="shared" si="3"/>
        <v>76.474687841631322</v>
      </c>
      <c r="L46" s="54">
        <f t="shared" si="3"/>
        <v>94.283248696945023</v>
      </c>
      <c r="M46" s="54">
        <f t="shared" si="3"/>
        <v>94.110152244007665</v>
      </c>
    </row>
    <row r="47" spans="1:13" x14ac:dyDescent="0.35">
      <c r="A47" s="63">
        <v>-0.05</v>
      </c>
      <c r="B47" s="66" t="s">
        <v>38</v>
      </c>
      <c r="C47" s="2" t="s">
        <v>10</v>
      </c>
      <c r="D47" s="50">
        <v>96.72</v>
      </c>
      <c r="E47" s="50">
        <v>97.66</v>
      </c>
      <c r="F47" s="50">
        <v>93.858771191016103</v>
      </c>
      <c r="G47" s="50">
        <v>91.958833008917694</v>
      </c>
      <c r="H47" s="50">
        <v>95.84</v>
      </c>
      <c r="I47" s="50">
        <v>97.89</v>
      </c>
      <c r="J47" s="50">
        <v>98.66</v>
      </c>
      <c r="K47" s="50">
        <v>93.679825165550099</v>
      </c>
      <c r="L47" s="50">
        <v>94.140916207596405</v>
      </c>
      <c r="M47" s="50">
        <v>98.85</v>
      </c>
    </row>
    <row r="48" spans="1:13" x14ac:dyDescent="0.35">
      <c r="A48" s="64"/>
      <c r="B48" s="64"/>
      <c r="C48" s="2" t="s">
        <v>11</v>
      </c>
      <c r="D48" s="53">
        <v>91.817330029914103</v>
      </c>
      <c r="E48" s="53">
        <v>87.669356981777995</v>
      </c>
      <c r="F48" s="52">
        <v>97.492716791669295</v>
      </c>
      <c r="G48" s="52">
        <v>97.827580285076394</v>
      </c>
      <c r="H48" s="53">
        <v>84.50578039415403</v>
      </c>
      <c r="I48" s="54">
        <v>97.502570882914696</v>
      </c>
      <c r="J48" s="54">
        <v>94.756292449061107</v>
      </c>
      <c r="K48" s="53">
        <v>85.696293637441556</v>
      </c>
      <c r="L48" s="52">
        <v>95.253674481499715</v>
      </c>
      <c r="M48" s="52">
        <v>99.415471039246995</v>
      </c>
    </row>
    <row r="49" spans="1:14" ht="15" thickBot="1" x14ac:dyDescent="0.4">
      <c r="A49" s="65"/>
      <c r="B49" s="65"/>
      <c r="C49" s="2" t="s">
        <v>14</v>
      </c>
      <c r="D49" s="53">
        <f>D47*0.95</f>
        <v>91.884</v>
      </c>
      <c r="E49" s="53">
        <f>E47*0.95</f>
        <v>92.776999999999987</v>
      </c>
      <c r="F49" s="50"/>
      <c r="G49" s="50"/>
      <c r="H49" s="53">
        <f t="shared" ref="H49:K49" si="4">H47*0.95</f>
        <v>91.048000000000002</v>
      </c>
      <c r="I49" s="54">
        <f t="shared" si="4"/>
        <v>92.995499999999993</v>
      </c>
      <c r="J49" s="54">
        <f t="shared" si="4"/>
        <v>93.72699999999999</v>
      </c>
      <c r="K49" s="53">
        <f t="shared" si="4"/>
        <v>88.995833907272583</v>
      </c>
      <c r="L49" s="50"/>
      <c r="M49" s="9"/>
    </row>
    <row r="50" spans="1:14" x14ac:dyDescent="0.35">
      <c r="A50" s="63">
        <v>-0.05</v>
      </c>
      <c r="B50" s="66" t="s">
        <v>37</v>
      </c>
      <c r="C50" s="2" t="s">
        <v>10</v>
      </c>
      <c r="D50" s="50">
        <v>86.832000000000008</v>
      </c>
      <c r="E50" s="50">
        <v>86.832000000000008</v>
      </c>
      <c r="F50" s="50">
        <v>86.832000000000008</v>
      </c>
      <c r="G50" s="50">
        <v>86.832000000000008</v>
      </c>
      <c r="H50" s="50">
        <v>86.832000000000008</v>
      </c>
      <c r="I50" s="50">
        <v>86.832000000000008</v>
      </c>
      <c r="J50" s="50">
        <v>86.832000000000008</v>
      </c>
      <c r="K50" s="50">
        <v>86.832000000000008</v>
      </c>
      <c r="L50" s="50">
        <v>86.832000000000008</v>
      </c>
      <c r="M50" s="50">
        <v>86.832000000000008</v>
      </c>
    </row>
    <row r="51" spans="1:14" x14ac:dyDescent="0.35">
      <c r="A51" s="64"/>
      <c r="B51" s="64"/>
      <c r="C51" s="2" t="s">
        <v>11</v>
      </c>
      <c r="D51" s="54">
        <v>84.632000000000005</v>
      </c>
      <c r="E51" s="54">
        <v>85.760999999999996</v>
      </c>
      <c r="F51" s="54">
        <v>85.551000000000002</v>
      </c>
      <c r="G51" s="54">
        <v>85.644999999999996</v>
      </c>
      <c r="H51" s="54">
        <v>84.384</v>
      </c>
      <c r="I51" s="54">
        <v>83.563999999999993</v>
      </c>
      <c r="J51" s="54">
        <v>85.510999999999996</v>
      </c>
      <c r="K51" s="54">
        <v>82.91</v>
      </c>
      <c r="L51" s="54">
        <v>84.626000000000005</v>
      </c>
      <c r="M51" s="54">
        <v>85.138999999999996</v>
      </c>
      <c r="N51" s="42"/>
    </row>
    <row r="52" spans="1:14" x14ac:dyDescent="0.35">
      <c r="A52" s="65"/>
      <c r="B52" s="65"/>
      <c r="C52" s="2" t="s">
        <v>14</v>
      </c>
      <c r="D52" s="54">
        <f>D50*0.95</f>
        <v>82.490400000000008</v>
      </c>
      <c r="E52" s="54">
        <f t="shared" ref="E52:M52" si="5">E50*0.95</f>
        <v>82.490400000000008</v>
      </c>
      <c r="F52" s="54">
        <f t="shared" si="5"/>
        <v>82.490400000000008</v>
      </c>
      <c r="G52" s="54">
        <f t="shared" si="5"/>
        <v>82.490400000000008</v>
      </c>
      <c r="H52" s="54">
        <f t="shared" si="5"/>
        <v>82.490400000000008</v>
      </c>
      <c r="I52" s="54">
        <f t="shared" si="5"/>
        <v>82.490400000000008</v>
      </c>
      <c r="J52" s="54">
        <f t="shared" si="5"/>
        <v>82.490400000000008</v>
      </c>
      <c r="K52" s="54">
        <f t="shared" si="5"/>
        <v>82.490400000000008</v>
      </c>
      <c r="L52" s="54">
        <f t="shared" si="5"/>
        <v>82.490400000000008</v>
      </c>
      <c r="M52" s="54">
        <f t="shared" si="5"/>
        <v>82.490400000000008</v>
      </c>
    </row>
  </sheetData>
  <mergeCells count="39">
    <mergeCell ref="A7:A9"/>
    <mergeCell ref="B7:B9"/>
    <mergeCell ref="B1:M1"/>
    <mergeCell ref="A3:A4"/>
    <mergeCell ref="B3:B4"/>
    <mergeCell ref="A5:A6"/>
    <mergeCell ref="B5:B6"/>
    <mergeCell ref="A10:A12"/>
    <mergeCell ref="B10:B12"/>
    <mergeCell ref="A13:A14"/>
    <mergeCell ref="B13:B14"/>
    <mergeCell ref="A15:A16"/>
    <mergeCell ref="B15:B16"/>
    <mergeCell ref="A17:A18"/>
    <mergeCell ref="B17:B18"/>
    <mergeCell ref="A20:A21"/>
    <mergeCell ref="B20:B21"/>
    <mergeCell ref="A22:A24"/>
    <mergeCell ref="B22:B24"/>
    <mergeCell ref="A25:A27"/>
    <mergeCell ref="B25:B27"/>
    <mergeCell ref="A28:A30"/>
    <mergeCell ref="B28:B30"/>
    <mergeCell ref="A31:A33"/>
    <mergeCell ref="B31:B33"/>
    <mergeCell ref="A34:A36"/>
    <mergeCell ref="B34:B36"/>
    <mergeCell ref="A37:A39"/>
    <mergeCell ref="B37:B39"/>
    <mergeCell ref="A40:A41"/>
    <mergeCell ref="B40:B41"/>
    <mergeCell ref="A50:A52"/>
    <mergeCell ref="B50:B52"/>
    <mergeCell ref="A42:A43"/>
    <mergeCell ref="B42:B43"/>
    <mergeCell ref="A44:A46"/>
    <mergeCell ref="B44:B46"/>
    <mergeCell ref="A47:A49"/>
    <mergeCell ref="B47:B49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83207-6F18-427B-8A58-E150AC8AFEDD}">
  <dimension ref="A1:N52"/>
  <sheetViews>
    <sheetView zoomScaleNormal="100" workbookViewId="0">
      <selection activeCell="C50" sqref="A50:XFD52"/>
    </sheetView>
  </sheetViews>
  <sheetFormatPr baseColWidth="10" defaultRowHeight="14.5" x14ac:dyDescent="0.35"/>
  <cols>
    <col min="1" max="1" width="11.54296875" style="7" customWidth="1"/>
    <col min="2" max="2" width="13.7265625" customWidth="1"/>
    <col min="3" max="3" width="8.7265625" customWidth="1"/>
    <col min="4" max="5" width="14.1796875" customWidth="1"/>
    <col min="6" max="6" width="13.453125" customWidth="1"/>
    <col min="7" max="7" width="12.08984375" customWidth="1"/>
    <col min="8" max="8" width="11.81640625" customWidth="1"/>
    <col min="9" max="9" width="9.81640625" customWidth="1"/>
    <col min="10" max="10" width="13" customWidth="1"/>
    <col min="11" max="11" width="13.7265625" customWidth="1"/>
    <col min="12" max="12" width="13.1796875" customWidth="1"/>
    <col min="13" max="13" width="12.7265625" customWidth="1"/>
    <col min="14" max="14" width="10.81640625" customWidth="1"/>
  </cols>
  <sheetData>
    <row r="1" spans="1:14" ht="17.5" customHeight="1" x14ac:dyDescent="0.35">
      <c r="B1" s="82" t="s">
        <v>43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4"/>
    </row>
    <row r="2" spans="1:14" ht="16" customHeight="1" x14ac:dyDescent="0.35">
      <c r="A2" s="5" t="s">
        <v>17</v>
      </c>
      <c r="B2" s="5" t="s">
        <v>16</v>
      </c>
      <c r="C2" s="6"/>
      <c r="D2" s="1" t="s">
        <v>20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</row>
    <row r="3" spans="1:14" x14ac:dyDescent="0.35">
      <c r="A3" s="73"/>
      <c r="B3" s="85" t="s">
        <v>9</v>
      </c>
      <c r="C3" s="41" t="s">
        <v>10</v>
      </c>
      <c r="D3" s="61">
        <v>0</v>
      </c>
      <c r="E3" s="61">
        <v>0</v>
      </c>
      <c r="F3" s="61">
        <v>0</v>
      </c>
      <c r="G3" s="61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</row>
    <row r="4" spans="1:14" x14ac:dyDescent="0.35">
      <c r="A4" s="68"/>
      <c r="B4" s="86"/>
      <c r="C4" s="41" t="s">
        <v>11</v>
      </c>
      <c r="D4" s="28">
        <v>0.21405072481321311</v>
      </c>
      <c r="E4" s="29">
        <v>0</v>
      </c>
      <c r="F4" s="28">
        <v>0.73209121856583326</v>
      </c>
      <c r="G4" s="28">
        <v>0.69046563621575119</v>
      </c>
      <c r="H4" s="29">
        <v>0</v>
      </c>
      <c r="I4" s="29">
        <v>0</v>
      </c>
      <c r="J4" s="29">
        <v>0</v>
      </c>
      <c r="K4" s="28">
        <v>0.48735722260967124</v>
      </c>
      <c r="L4" s="29">
        <v>0</v>
      </c>
      <c r="M4" s="29">
        <v>0</v>
      </c>
      <c r="N4" s="44"/>
    </row>
    <row r="5" spans="1:14" x14ac:dyDescent="0.35">
      <c r="A5" s="72"/>
      <c r="B5" s="87" t="s">
        <v>12</v>
      </c>
      <c r="C5" s="41" t="s">
        <v>10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/>
    </row>
    <row r="6" spans="1:14" x14ac:dyDescent="0.35">
      <c r="A6" s="68"/>
      <c r="B6" s="86"/>
      <c r="C6" s="41" t="s">
        <v>11</v>
      </c>
      <c r="D6" s="28">
        <v>15.697053152968961</v>
      </c>
      <c r="E6" s="28">
        <v>18.19451890118102</v>
      </c>
      <c r="F6" s="28">
        <v>12.445550715619166</v>
      </c>
      <c r="G6" s="28">
        <v>54.546785261044342</v>
      </c>
      <c r="H6" s="29">
        <v>0</v>
      </c>
      <c r="I6" s="29">
        <v>0</v>
      </c>
      <c r="J6" s="29">
        <v>0</v>
      </c>
      <c r="K6" s="28">
        <v>46.786293370528433</v>
      </c>
      <c r="L6" s="29">
        <v>0</v>
      </c>
      <c r="M6" s="29">
        <v>0</v>
      </c>
    </row>
    <row r="7" spans="1:14" x14ac:dyDescent="0.35">
      <c r="A7" s="72" t="s">
        <v>28</v>
      </c>
      <c r="B7" s="72" t="s">
        <v>22</v>
      </c>
      <c r="C7" s="3" t="s">
        <v>10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4" x14ac:dyDescent="0.35">
      <c r="A8" s="73"/>
      <c r="B8" s="73"/>
      <c r="C8" s="3" t="s">
        <v>11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4" x14ac:dyDescent="0.35">
      <c r="A9" s="68"/>
      <c r="B9" s="68"/>
      <c r="C9" s="3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</row>
    <row r="10" spans="1:14" x14ac:dyDescent="0.35">
      <c r="A10" s="67">
        <v>-0.05</v>
      </c>
      <c r="B10" s="69" t="s">
        <v>27</v>
      </c>
      <c r="C10" s="3" t="s">
        <v>10</v>
      </c>
      <c r="D10" s="3">
        <v>90</v>
      </c>
      <c r="E10" s="3">
        <v>90</v>
      </c>
      <c r="F10" s="3">
        <v>90</v>
      </c>
      <c r="G10" s="3">
        <v>90</v>
      </c>
      <c r="H10" s="3">
        <v>90</v>
      </c>
      <c r="I10" s="3">
        <v>90</v>
      </c>
      <c r="J10" s="3">
        <v>90</v>
      </c>
      <c r="K10" s="3">
        <v>90</v>
      </c>
      <c r="L10" s="3">
        <v>90</v>
      </c>
      <c r="M10" s="3">
        <v>90</v>
      </c>
    </row>
    <row r="11" spans="1:14" x14ac:dyDescent="0.35">
      <c r="A11" s="81"/>
      <c r="B11" s="76"/>
      <c r="C11" s="3" t="s">
        <v>11</v>
      </c>
      <c r="D11" s="28">
        <v>79.849999999999994</v>
      </c>
      <c r="E11" s="28">
        <v>71.099999999999994</v>
      </c>
      <c r="F11" s="28">
        <v>49.6</v>
      </c>
      <c r="G11" s="28">
        <v>47.6</v>
      </c>
      <c r="H11" s="29">
        <v>96.76</v>
      </c>
      <c r="I11" s="29">
        <v>95.93</v>
      </c>
      <c r="J11" s="29">
        <v>99.27</v>
      </c>
      <c r="K11" s="28">
        <v>56.12</v>
      </c>
      <c r="L11" s="29">
        <v>94.76</v>
      </c>
      <c r="M11" s="29">
        <v>95.04</v>
      </c>
    </row>
    <row r="12" spans="1:14" x14ac:dyDescent="0.35">
      <c r="A12" s="77"/>
      <c r="B12" s="70"/>
      <c r="C12" s="19" t="s">
        <v>14</v>
      </c>
      <c r="D12" s="12">
        <f>D10*0.95</f>
        <v>85.5</v>
      </c>
      <c r="E12" s="3"/>
      <c r="F12" s="3"/>
      <c r="G12" s="3"/>
      <c r="H12" s="30"/>
      <c r="I12" s="3"/>
      <c r="J12" s="3"/>
      <c r="K12" s="3"/>
      <c r="L12" s="3"/>
      <c r="M12" s="3"/>
    </row>
    <row r="13" spans="1:14" s="2" customFormat="1" x14ac:dyDescent="0.35">
      <c r="A13" s="67"/>
      <c r="B13" s="69" t="s">
        <v>30</v>
      </c>
      <c r="C13" s="3" t="s">
        <v>10</v>
      </c>
      <c r="D13" s="3">
        <v>95</v>
      </c>
      <c r="E13" s="3">
        <v>95</v>
      </c>
      <c r="F13" s="3">
        <v>95</v>
      </c>
      <c r="G13" s="3">
        <v>95</v>
      </c>
      <c r="H13" s="3">
        <v>95</v>
      </c>
      <c r="I13" s="3">
        <v>95</v>
      </c>
      <c r="J13" s="3">
        <v>95</v>
      </c>
      <c r="K13" s="3">
        <v>95</v>
      </c>
      <c r="L13" s="3">
        <v>95</v>
      </c>
      <c r="M13" s="3">
        <v>95</v>
      </c>
      <c r="N13" s="27"/>
    </row>
    <row r="14" spans="1:14" s="2" customFormat="1" x14ac:dyDescent="0.35">
      <c r="A14" s="77"/>
      <c r="B14" s="70"/>
      <c r="C14" s="3" t="s">
        <v>11</v>
      </c>
      <c r="D14" s="12">
        <v>94.8</v>
      </c>
      <c r="E14" s="25">
        <v>98</v>
      </c>
      <c r="F14" s="25">
        <v>98</v>
      </c>
      <c r="G14" s="11">
        <v>95</v>
      </c>
      <c r="H14" s="12">
        <v>98</v>
      </c>
      <c r="I14" s="26">
        <v>94</v>
      </c>
      <c r="J14" s="26">
        <v>98</v>
      </c>
      <c r="K14" s="25">
        <v>95</v>
      </c>
      <c r="L14" s="26">
        <v>86</v>
      </c>
      <c r="M14" s="12">
        <v>92</v>
      </c>
      <c r="N14" s="27"/>
    </row>
    <row r="15" spans="1:14" s="2" customFormat="1" x14ac:dyDescent="0.35">
      <c r="A15" s="67"/>
      <c r="B15" s="69" t="s">
        <v>39</v>
      </c>
      <c r="C15" s="3" t="s">
        <v>10</v>
      </c>
      <c r="D15" s="3">
        <v>80</v>
      </c>
      <c r="E15" s="3">
        <v>80</v>
      </c>
      <c r="F15" s="3">
        <v>80</v>
      </c>
      <c r="G15" s="3">
        <v>80</v>
      </c>
      <c r="H15" s="3">
        <v>80</v>
      </c>
      <c r="I15" s="3">
        <v>80</v>
      </c>
      <c r="J15" s="3">
        <v>80</v>
      </c>
      <c r="K15" s="3">
        <v>80</v>
      </c>
      <c r="L15" s="3">
        <v>80</v>
      </c>
      <c r="M15" s="3">
        <v>80</v>
      </c>
    </row>
    <row r="16" spans="1:14" s="2" customFormat="1" x14ac:dyDescent="0.35">
      <c r="A16" s="77"/>
      <c r="B16" s="70"/>
      <c r="C16" s="3" t="s">
        <v>11</v>
      </c>
      <c r="D16" s="11">
        <v>92.96</v>
      </c>
      <c r="E16" s="25">
        <v>88.33</v>
      </c>
      <c r="F16" s="25">
        <v>100</v>
      </c>
      <c r="G16" s="11">
        <v>95.33</v>
      </c>
      <c r="H16" s="11">
        <v>90.54</v>
      </c>
      <c r="I16" s="25">
        <v>90.42</v>
      </c>
      <c r="J16" s="25">
        <v>98.9</v>
      </c>
      <c r="K16" s="25">
        <v>90.38</v>
      </c>
      <c r="L16" s="25">
        <v>91.86</v>
      </c>
      <c r="M16" s="11">
        <v>88.81</v>
      </c>
    </row>
    <row r="17" spans="1:14" x14ac:dyDescent="0.35">
      <c r="A17" s="74" t="s">
        <v>33</v>
      </c>
      <c r="B17" s="75" t="s">
        <v>31</v>
      </c>
      <c r="C17" s="18" t="s">
        <v>10</v>
      </c>
      <c r="D17" s="18">
        <v>90</v>
      </c>
      <c r="E17" s="18">
        <v>90</v>
      </c>
      <c r="F17" s="18">
        <v>90</v>
      </c>
      <c r="G17" s="18">
        <v>90</v>
      </c>
      <c r="H17" s="18">
        <v>90</v>
      </c>
      <c r="I17" s="18">
        <v>90</v>
      </c>
      <c r="J17" s="18">
        <v>90</v>
      </c>
      <c r="K17" s="18">
        <v>90</v>
      </c>
      <c r="L17" s="18">
        <v>90</v>
      </c>
      <c r="M17" s="18">
        <v>90</v>
      </c>
    </row>
    <row r="18" spans="1:14" x14ac:dyDescent="0.35">
      <c r="A18" s="74"/>
      <c r="B18" s="75"/>
      <c r="C18" s="3" t="s">
        <v>11</v>
      </c>
      <c r="D18" s="12">
        <v>35.75</v>
      </c>
      <c r="E18" s="12">
        <v>55.88</v>
      </c>
      <c r="F18" s="12">
        <v>72.97</v>
      </c>
      <c r="G18" s="12">
        <v>7.01</v>
      </c>
      <c r="H18" s="12">
        <v>53.27</v>
      </c>
      <c r="I18" s="12">
        <v>35.36</v>
      </c>
      <c r="J18" s="12">
        <v>53.85</v>
      </c>
      <c r="K18" s="12">
        <v>31.03</v>
      </c>
      <c r="L18" s="12">
        <v>47.44</v>
      </c>
      <c r="M18" s="12">
        <v>37.31</v>
      </c>
    </row>
    <row r="19" spans="1:14" x14ac:dyDescent="0.35">
      <c r="A19" s="40"/>
      <c r="B19" s="39"/>
      <c r="C19" s="3"/>
      <c r="D19" s="12"/>
      <c r="E19" s="12"/>
      <c r="F19" s="48"/>
      <c r="G19" s="12"/>
      <c r="H19" s="12"/>
      <c r="I19" s="12"/>
      <c r="J19" s="12"/>
      <c r="K19" s="12"/>
      <c r="L19" s="12"/>
      <c r="M19" s="12"/>
    </row>
    <row r="20" spans="1:14" x14ac:dyDescent="0.35">
      <c r="A20" s="67"/>
      <c r="B20" s="69" t="s">
        <v>32</v>
      </c>
      <c r="C20" s="3" t="s">
        <v>10</v>
      </c>
      <c r="D20" s="20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</row>
    <row r="21" spans="1:14" x14ac:dyDescent="0.35">
      <c r="A21" s="77"/>
      <c r="B21" s="70"/>
      <c r="C21" s="3" t="s">
        <v>11</v>
      </c>
      <c r="D21" s="38">
        <v>1352102.64</v>
      </c>
      <c r="E21" s="38">
        <v>261533.31</v>
      </c>
      <c r="F21" s="62">
        <v>44305.23</v>
      </c>
      <c r="G21" s="38">
        <v>441432.79</v>
      </c>
      <c r="H21" s="23"/>
      <c r="I21" s="23"/>
      <c r="J21" s="22"/>
      <c r="K21" s="38">
        <v>565448.89</v>
      </c>
      <c r="L21" s="36"/>
      <c r="M21" s="23"/>
    </row>
    <row r="22" spans="1:14" x14ac:dyDescent="0.35">
      <c r="A22" s="78" t="s">
        <v>29</v>
      </c>
      <c r="B22" s="72" t="s">
        <v>13</v>
      </c>
      <c r="C22" s="2" t="s">
        <v>10</v>
      </c>
      <c r="D22" s="43">
        <v>7.0013136317194844</v>
      </c>
      <c r="E22" s="43">
        <v>6.739759142538607</v>
      </c>
      <c r="F22" s="43">
        <v>6.5023033307450344</v>
      </c>
      <c r="G22" s="43">
        <v>5.6407535180742254</v>
      </c>
      <c r="H22" s="43">
        <v>7.1330489850534269</v>
      </c>
      <c r="I22" s="43">
        <v>8.4946481599985333</v>
      </c>
      <c r="J22" s="43">
        <v>6.8894045072117853</v>
      </c>
      <c r="K22" s="43">
        <v>7.9764878241302908</v>
      </c>
      <c r="L22" s="43">
        <v>8.7113688504283218</v>
      </c>
      <c r="M22" s="43">
        <v>6.8468725878132863</v>
      </c>
      <c r="N22" s="51"/>
    </row>
    <row r="23" spans="1:14" x14ac:dyDescent="0.35">
      <c r="A23" s="79"/>
      <c r="B23" s="73"/>
      <c r="C23" s="2" t="s">
        <v>11</v>
      </c>
      <c r="D23" s="60">
        <v>7.1290932449828128</v>
      </c>
      <c r="E23" s="60">
        <v>6.9955406720476274</v>
      </c>
      <c r="F23" s="60">
        <v>6.9937421694691722</v>
      </c>
      <c r="G23" s="31">
        <v>3.3770747272862196</v>
      </c>
      <c r="H23" s="60">
        <v>7.606159691215816</v>
      </c>
      <c r="I23" s="31">
        <v>9.8028400009542214</v>
      </c>
      <c r="J23" s="33">
        <v>7.8917290956249264</v>
      </c>
      <c r="K23" s="60">
        <v>7.8950601783704224</v>
      </c>
      <c r="L23" s="60">
        <v>9.2393838467943379</v>
      </c>
      <c r="M23" s="33">
        <v>6.1505839380977561</v>
      </c>
      <c r="N23" s="51"/>
    </row>
    <row r="24" spans="1:14" ht="15" thickBot="1" x14ac:dyDescent="0.4">
      <c r="A24" s="80"/>
      <c r="B24" s="68"/>
      <c r="C24" s="2" t="s">
        <v>14</v>
      </c>
      <c r="D24" s="30"/>
      <c r="E24" s="25">
        <f t="shared" ref="E24:L24" si="0">E22*1.1</f>
        <v>7.4137350567924685</v>
      </c>
      <c r="F24" s="25">
        <f>F22*1.1</f>
        <v>7.152533663819538</v>
      </c>
      <c r="G24" s="26">
        <f>G22*0.8</f>
        <v>4.5126028144593802</v>
      </c>
      <c r="H24" s="25">
        <f>H22*1.1</f>
        <v>7.8463538835587698</v>
      </c>
      <c r="I24" s="26">
        <f>I22*1.2</f>
        <v>10.193577791998239</v>
      </c>
      <c r="J24" s="32">
        <f t="shared" si="0"/>
        <v>7.5783449579329645</v>
      </c>
      <c r="K24" s="25">
        <f>K22*0.9</f>
        <v>7.1788390417172616</v>
      </c>
      <c r="L24" s="25">
        <f t="shared" si="0"/>
        <v>9.5825057354711554</v>
      </c>
      <c r="M24" s="32">
        <f>M22*0.8</f>
        <v>5.4774980702506291</v>
      </c>
      <c r="N24" s="51"/>
    </row>
    <row r="25" spans="1:14" x14ac:dyDescent="0.35">
      <c r="A25" s="63">
        <v>-0.03</v>
      </c>
      <c r="B25" s="66" t="s">
        <v>23</v>
      </c>
      <c r="C25" s="2" t="s">
        <v>10</v>
      </c>
      <c r="D25" s="43">
        <v>57.401061241999997</v>
      </c>
      <c r="E25" s="43">
        <v>67.665418227000004</v>
      </c>
      <c r="F25" s="43">
        <v>53.385583965000002</v>
      </c>
      <c r="G25" s="43">
        <v>44.071490845</v>
      </c>
      <c r="H25" s="43">
        <v>65.830046611</v>
      </c>
      <c r="I25" s="43">
        <v>49.234181894999999</v>
      </c>
      <c r="J25" s="43">
        <v>58.446866485000001</v>
      </c>
      <c r="K25" s="43">
        <v>61.926236107999998</v>
      </c>
      <c r="L25" s="43">
        <v>55.700491274999997</v>
      </c>
      <c r="M25" s="43">
        <v>53.092783505</v>
      </c>
    </row>
    <row r="26" spans="1:14" x14ac:dyDescent="0.35">
      <c r="A26" s="64"/>
      <c r="B26" s="64"/>
      <c r="C26" s="2" t="s">
        <v>11</v>
      </c>
      <c r="D26" s="60">
        <v>60.158030693999997</v>
      </c>
      <c r="E26" s="60">
        <v>70.135665833000004</v>
      </c>
      <c r="F26" s="60">
        <v>54.113297240000001</v>
      </c>
      <c r="G26" s="60">
        <v>50.644329896000002</v>
      </c>
      <c r="H26" s="60">
        <v>66.320369382999999</v>
      </c>
      <c r="I26" s="60">
        <v>54.946775203000001</v>
      </c>
      <c r="J26" s="60">
        <v>61.468396356</v>
      </c>
      <c r="K26" s="60">
        <v>64.536199095000001</v>
      </c>
      <c r="L26" s="60">
        <v>56.640296245999998</v>
      </c>
      <c r="M26" s="60">
        <v>54.663167104000003</v>
      </c>
    </row>
    <row r="27" spans="1:14" x14ac:dyDescent="0.35">
      <c r="A27" s="65"/>
      <c r="B27" s="65"/>
      <c r="C27" s="2" t="s">
        <v>14</v>
      </c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4" x14ac:dyDescent="0.35">
      <c r="A28" s="71">
        <v>7.0000000000000007E-2</v>
      </c>
      <c r="B28" s="72" t="s">
        <v>41</v>
      </c>
      <c r="C28" s="2" t="s">
        <v>10</v>
      </c>
      <c r="D28" s="43">
        <v>6.8438165819999996</v>
      </c>
      <c r="E28" s="43">
        <v>4.9789363289999997</v>
      </c>
      <c r="F28" s="43">
        <v>4.1621219700000003</v>
      </c>
      <c r="G28" s="43">
        <v>3.6641612659999998</v>
      </c>
      <c r="H28" s="43">
        <v>13.171437563</v>
      </c>
      <c r="I28" s="43">
        <v>7.4627813170000001</v>
      </c>
      <c r="J28" s="43">
        <v>6.803359532</v>
      </c>
      <c r="K28" s="43">
        <v>9.5465574679999996</v>
      </c>
      <c r="L28" s="43">
        <v>5.752240026</v>
      </c>
      <c r="M28" s="43">
        <v>3.3594676739999998</v>
      </c>
    </row>
    <row r="29" spans="1:14" x14ac:dyDescent="0.35">
      <c r="A29" s="71"/>
      <c r="B29" s="73"/>
      <c r="C29" s="2" t="s">
        <v>11</v>
      </c>
      <c r="D29" s="60">
        <v>5.4301948339999999</v>
      </c>
      <c r="E29" s="60">
        <v>3.9531471360000001</v>
      </c>
      <c r="F29" s="60">
        <v>4.0519174009999999</v>
      </c>
      <c r="G29" s="60">
        <v>3.3625990899999998</v>
      </c>
      <c r="H29" s="60">
        <v>8.8459497519999992</v>
      </c>
      <c r="I29" s="60">
        <v>6.2546359469999997</v>
      </c>
      <c r="J29" s="43">
        <v>7.1415372609999999</v>
      </c>
      <c r="K29" s="60">
        <v>7.9416621220000003</v>
      </c>
      <c r="L29" s="60">
        <v>3.507773201</v>
      </c>
      <c r="M29" s="60">
        <v>2.6514681269999998</v>
      </c>
    </row>
    <row r="30" spans="1:14" x14ac:dyDescent="0.35">
      <c r="A30" s="71"/>
      <c r="B30" s="68"/>
      <c r="C30" s="2" t="s">
        <v>14</v>
      </c>
      <c r="D30" s="43"/>
      <c r="E30" s="43"/>
      <c r="F30" s="30"/>
      <c r="G30" s="43"/>
      <c r="H30" s="43"/>
      <c r="I30" s="43"/>
      <c r="J30" s="32">
        <f>J28*1.07</f>
        <v>7.2795946992400005</v>
      </c>
      <c r="K30" s="30"/>
      <c r="L30" s="43"/>
      <c r="M30" s="30"/>
    </row>
    <row r="31" spans="1:14" x14ac:dyDescent="0.35">
      <c r="A31" s="71">
        <v>0.1</v>
      </c>
      <c r="B31" s="69" t="s">
        <v>34</v>
      </c>
      <c r="C31" s="2" t="s">
        <v>10</v>
      </c>
      <c r="D31" s="8">
        <v>16.29</v>
      </c>
      <c r="E31" s="8">
        <v>10.36</v>
      </c>
      <c r="F31" s="8">
        <v>8.18</v>
      </c>
      <c r="G31" s="8">
        <v>8.31</v>
      </c>
      <c r="H31" s="8">
        <v>20.7</v>
      </c>
      <c r="I31" s="8">
        <v>21.46</v>
      </c>
      <c r="J31" s="8">
        <v>12.23</v>
      </c>
      <c r="K31" s="8">
        <v>14.38</v>
      </c>
      <c r="L31" s="8">
        <v>7.86</v>
      </c>
      <c r="M31" s="8">
        <v>6.48</v>
      </c>
    </row>
    <row r="32" spans="1:14" x14ac:dyDescent="0.35">
      <c r="A32" s="71"/>
      <c r="B32" s="76"/>
      <c r="C32" s="2" t="s">
        <v>11</v>
      </c>
      <c r="D32" s="15">
        <v>15.96</v>
      </c>
      <c r="E32" s="15">
        <v>9.17</v>
      </c>
      <c r="F32" s="13">
        <v>8.26</v>
      </c>
      <c r="G32" s="13">
        <v>8.5399999999999991</v>
      </c>
      <c r="H32" s="15">
        <v>20.55</v>
      </c>
      <c r="I32" s="15">
        <v>21.35</v>
      </c>
      <c r="J32" s="15">
        <v>11.79</v>
      </c>
      <c r="K32" s="15">
        <v>14.04</v>
      </c>
      <c r="L32" s="15">
        <v>7.73</v>
      </c>
      <c r="M32" s="15">
        <v>6</v>
      </c>
    </row>
    <row r="33" spans="1:13" x14ac:dyDescent="0.35">
      <c r="A33" s="71"/>
      <c r="B33" s="70"/>
      <c r="C33" s="2" t="s">
        <v>14</v>
      </c>
      <c r="D33" s="3"/>
      <c r="E33" s="3"/>
      <c r="F33" s="4">
        <f>F31*1.1</f>
        <v>8.9980000000000011</v>
      </c>
      <c r="G33" s="4">
        <f>G31*1.1</f>
        <v>9.1410000000000018</v>
      </c>
      <c r="H33" s="3"/>
      <c r="I33" s="3"/>
      <c r="J33" s="3"/>
      <c r="K33" s="3"/>
      <c r="L33" s="3"/>
      <c r="M33" s="3"/>
    </row>
    <row r="34" spans="1:13" x14ac:dyDescent="0.35">
      <c r="A34" s="71">
        <v>7.0000000000000007E-2</v>
      </c>
      <c r="B34" s="72" t="s">
        <v>35</v>
      </c>
      <c r="C34" s="2" t="s">
        <v>10</v>
      </c>
      <c r="D34" s="43">
        <v>4.663000094</v>
      </c>
      <c r="E34" s="43">
        <v>5.7713611480000004</v>
      </c>
      <c r="F34" s="43">
        <v>1.5132813350000001</v>
      </c>
      <c r="G34" s="43">
        <v>3.5708312809999998</v>
      </c>
      <c r="H34" s="43">
        <v>4.6416956799999998</v>
      </c>
      <c r="I34" s="43">
        <v>5.9045214350000004</v>
      </c>
      <c r="J34" s="43">
        <v>1.864794351</v>
      </c>
      <c r="K34" s="43">
        <v>10.732854904</v>
      </c>
      <c r="L34" s="43">
        <v>1.311867455</v>
      </c>
      <c r="M34" s="43">
        <v>1.3850736299999999</v>
      </c>
    </row>
    <row r="35" spans="1:13" x14ac:dyDescent="0.35">
      <c r="A35" s="71"/>
      <c r="B35" s="73"/>
      <c r="C35" s="2" t="s">
        <v>11</v>
      </c>
      <c r="D35" s="60">
        <v>4.1154587080000002</v>
      </c>
      <c r="E35" s="60">
        <v>4.3468245879999996</v>
      </c>
      <c r="F35" s="33">
        <v>1.55927259</v>
      </c>
      <c r="G35" s="60">
        <v>2.6011981130000001</v>
      </c>
      <c r="H35" s="31">
        <v>7.1197197619999999</v>
      </c>
      <c r="I35" s="60">
        <v>3.5376548250000002</v>
      </c>
      <c r="J35" s="31">
        <v>2.4041768619999999</v>
      </c>
      <c r="K35" s="60">
        <v>8.3258740069999995</v>
      </c>
      <c r="L35" s="60">
        <v>1.3096156569999999</v>
      </c>
      <c r="M35" s="60">
        <v>1.1095760299999999</v>
      </c>
    </row>
    <row r="36" spans="1:13" x14ac:dyDescent="0.35">
      <c r="A36" s="71"/>
      <c r="B36" s="68"/>
      <c r="C36" s="2" t="s">
        <v>14</v>
      </c>
      <c r="D36" s="44"/>
      <c r="E36" s="44"/>
      <c r="F36" s="59">
        <f>F34*1.07</f>
        <v>1.6192110284500001</v>
      </c>
      <c r="G36" s="44"/>
      <c r="H36" s="28">
        <f t="shared" ref="H36:J36" si="1">H34*1.07</f>
        <v>4.9666143776</v>
      </c>
      <c r="I36" s="44"/>
      <c r="J36" s="28">
        <f t="shared" si="1"/>
        <v>1.9953299555700001</v>
      </c>
      <c r="K36" s="44"/>
      <c r="L36" s="28"/>
      <c r="M36" s="44"/>
    </row>
    <row r="37" spans="1:13" x14ac:dyDescent="0.35">
      <c r="A37" s="74" t="s">
        <v>26</v>
      </c>
      <c r="B37" s="75" t="s">
        <v>18</v>
      </c>
      <c r="C37" s="2" t="s">
        <v>10</v>
      </c>
      <c r="D37" s="3">
        <v>40</v>
      </c>
      <c r="E37" s="3">
        <v>40</v>
      </c>
      <c r="F37" s="3">
        <v>40</v>
      </c>
      <c r="G37" s="3">
        <v>40</v>
      </c>
      <c r="H37" s="3">
        <v>40</v>
      </c>
      <c r="I37" s="3">
        <v>40</v>
      </c>
      <c r="J37" s="3">
        <v>40</v>
      </c>
      <c r="K37" s="3">
        <v>40</v>
      </c>
      <c r="L37" s="3">
        <v>40</v>
      </c>
      <c r="M37" s="3">
        <v>40</v>
      </c>
    </row>
    <row r="38" spans="1:13" x14ac:dyDescent="0.35">
      <c r="A38" s="71"/>
      <c r="B38" s="75"/>
      <c r="C38" s="2" t="s">
        <v>11</v>
      </c>
      <c r="D38" s="25">
        <v>42</v>
      </c>
      <c r="E38" s="12">
        <v>55</v>
      </c>
      <c r="F38" s="11">
        <v>41</v>
      </c>
      <c r="G38" s="11">
        <v>40</v>
      </c>
      <c r="H38" s="11">
        <v>39</v>
      </c>
      <c r="I38" s="11">
        <v>41</v>
      </c>
      <c r="J38" s="11">
        <v>39</v>
      </c>
      <c r="K38" s="11">
        <v>39</v>
      </c>
      <c r="L38" s="11">
        <v>43</v>
      </c>
      <c r="M38" s="11">
        <v>38</v>
      </c>
    </row>
    <row r="39" spans="1:13" x14ac:dyDescent="0.35">
      <c r="A39" s="71"/>
      <c r="B39" s="75"/>
      <c r="C39" s="2" t="s">
        <v>14</v>
      </c>
      <c r="D39" s="15">
        <f>D37*1.1</f>
        <v>44</v>
      </c>
      <c r="E39" s="14">
        <f>E37*1.2</f>
        <v>48</v>
      </c>
      <c r="F39" s="15">
        <f>F37*1.1</f>
        <v>44</v>
      </c>
      <c r="G39" s="15">
        <f>G37*1.1</f>
        <v>44</v>
      </c>
      <c r="H39" s="15">
        <f t="shared" ref="H39:L39" si="2">H37*1.1</f>
        <v>44</v>
      </c>
      <c r="I39" s="15">
        <f t="shared" si="2"/>
        <v>44</v>
      </c>
      <c r="J39" s="8"/>
      <c r="K39" s="8"/>
      <c r="L39" s="15">
        <f t="shared" si="2"/>
        <v>44</v>
      </c>
      <c r="M39" s="15">
        <f>M37*0.9</f>
        <v>36</v>
      </c>
    </row>
    <row r="40" spans="1:13" ht="20.149999999999999" customHeight="1" x14ac:dyDescent="0.35">
      <c r="A40" s="71" t="s">
        <v>25</v>
      </c>
      <c r="B40" s="75" t="s">
        <v>24</v>
      </c>
      <c r="C40" s="2" t="s">
        <v>10</v>
      </c>
      <c r="D40" s="3">
        <v>100</v>
      </c>
      <c r="E40" s="3">
        <v>100</v>
      </c>
      <c r="F40" s="3">
        <v>100</v>
      </c>
      <c r="G40" s="3">
        <v>100</v>
      </c>
      <c r="H40" s="3">
        <v>100</v>
      </c>
      <c r="I40" s="3">
        <v>100</v>
      </c>
      <c r="J40" s="3">
        <v>100</v>
      </c>
      <c r="K40" s="3">
        <v>100</v>
      </c>
      <c r="L40" s="3">
        <v>100</v>
      </c>
      <c r="M40" s="3">
        <v>100</v>
      </c>
    </row>
    <row r="41" spans="1:13" ht="20.149999999999999" customHeight="1" x14ac:dyDescent="0.35">
      <c r="A41" s="71"/>
      <c r="B41" s="75"/>
      <c r="C41" s="2" t="s">
        <v>11</v>
      </c>
      <c r="D41" s="11">
        <v>100</v>
      </c>
      <c r="E41" s="11">
        <v>100</v>
      </c>
      <c r="F41" s="11">
        <v>100</v>
      </c>
      <c r="G41" s="11">
        <v>100</v>
      </c>
      <c r="H41" s="11">
        <v>100</v>
      </c>
      <c r="I41" s="11">
        <v>100</v>
      </c>
      <c r="J41" s="11">
        <v>100</v>
      </c>
      <c r="K41" s="11">
        <v>100</v>
      </c>
      <c r="L41" s="11">
        <v>100</v>
      </c>
      <c r="M41" s="11">
        <v>100</v>
      </c>
    </row>
    <row r="42" spans="1:13" ht="20.149999999999999" customHeight="1" x14ac:dyDescent="0.35">
      <c r="A42" s="67">
        <v>0.05</v>
      </c>
      <c r="B42" s="69" t="s">
        <v>19</v>
      </c>
      <c r="C42" s="3" t="s">
        <v>10</v>
      </c>
      <c r="D42" s="3">
        <v>90</v>
      </c>
      <c r="E42" s="3">
        <v>90</v>
      </c>
      <c r="F42" s="3">
        <v>90</v>
      </c>
      <c r="G42" s="3">
        <v>90</v>
      </c>
      <c r="H42" s="3">
        <v>90</v>
      </c>
      <c r="I42" s="3">
        <v>90</v>
      </c>
      <c r="J42" s="3">
        <v>90</v>
      </c>
      <c r="K42" s="3">
        <v>90</v>
      </c>
      <c r="L42" s="3">
        <v>90</v>
      </c>
      <c r="M42" s="3">
        <v>90</v>
      </c>
    </row>
    <row r="43" spans="1:13" ht="20.149999999999999" customHeight="1" thickBot="1" x14ac:dyDescent="0.4">
      <c r="A43" s="68"/>
      <c r="B43" s="70"/>
      <c r="C43" s="3" t="s">
        <v>11</v>
      </c>
      <c r="D43" s="11">
        <v>99.92</v>
      </c>
      <c r="E43" s="47">
        <v>100</v>
      </c>
      <c r="F43" s="11">
        <v>100</v>
      </c>
      <c r="G43" s="11">
        <v>100</v>
      </c>
      <c r="H43" s="11">
        <v>100</v>
      </c>
      <c r="I43" s="11">
        <v>97.95</v>
      </c>
      <c r="J43" s="11">
        <v>96.26</v>
      </c>
      <c r="K43" s="11">
        <v>98.96</v>
      </c>
      <c r="L43" s="11">
        <v>100</v>
      </c>
      <c r="M43" s="11">
        <v>100</v>
      </c>
    </row>
    <row r="44" spans="1:13" x14ac:dyDescent="0.35">
      <c r="A44" s="63">
        <v>-7.0000000000000007E-2</v>
      </c>
      <c r="B44" s="66" t="s">
        <v>36</v>
      </c>
      <c r="C44" s="2" t="s">
        <v>10</v>
      </c>
      <c r="D44" s="43">
        <v>96.610000000097614</v>
      </c>
      <c r="E44" s="43">
        <v>97.989119922152554</v>
      </c>
      <c r="F44" s="43">
        <v>101.33475464941195</v>
      </c>
      <c r="G44" s="43">
        <v>100.50115882766306</v>
      </c>
      <c r="H44" s="43">
        <v>100.68596675178107</v>
      </c>
      <c r="I44" s="43">
        <v>101.53067859932125</v>
      </c>
      <c r="J44" s="43">
        <v>100.34428882396742</v>
      </c>
      <c r="K44" s="43">
        <v>83.475486669702917</v>
      </c>
      <c r="L44" s="43">
        <v>100.52908261310843</v>
      </c>
      <c r="M44" s="43">
        <v>100.51708172774023</v>
      </c>
    </row>
    <row r="45" spans="1:13" x14ac:dyDescent="0.35">
      <c r="A45" s="64"/>
      <c r="B45" s="64"/>
      <c r="C45" s="2" t="s">
        <v>11</v>
      </c>
      <c r="D45" s="33">
        <v>91.737108705312693</v>
      </c>
      <c r="E45" s="31">
        <v>88.599182099999993</v>
      </c>
      <c r="F45" s="33">
        <v>99.261166900000006</v>
      </c>
      <c r="G45" s="33">
        <v>99.956076600000003</v>
      </c>
      <c r="H45" s="33">
        <v>97.730540700000006</v>
      </c>
      <c r="I45" s="33">
        <v>98.9459746</v>
      </c>
      <c r="J45" s="33">
        <v>97.550583102276704</v>
      </c>
      <c r="K45" s="31">
        <v>68.964616899999996</v>
      </c>
      <c r="L45" s="33">
        <v>99.928329904757106</v>
      </c>
      <c r="M45" s="60">
        <v>100.908889</v>
      </c>
    </row>
    <row r="46" spans="1:13" ht="15" thickBot="1" x14ac:dyDescent="0.4">
      <c r="A46" s="65"/>
      <c r="B46" s="65"/>
      <c r="C46" s="2" t="s">
        <v>14</v>
      </c>
      <c r="D46" s="54">
        <f>D44*0.93</f>
        <v>89.847300000090783</v>
      </c>
      <c r="E46" s="53">
        <f>E44*0.93</f>
        <v>91.129881527601881</v>
      </c>
      <c r="F46" s="54">
        <f t="shared" ref="F46:M46" si="3">F44*0.93</f>
        <v>94.241321823953115</v>
      </c>
      <c r="G46" s="54">
        <f t="shared" si="3"/>
        <v>93.466077709726648</v>
      </c>
      <c r="H46" s="54">
        <f t="shared" si="3"/>
        <v>93.6379490791564</v>
      </c>
      <c r="I46" s="54">
        <f t="shared" si="3"/>
        <v>94.423531097368766</v>
      </c>
      <c r="J46" s="54">
        <f t="shared" si="3"/>
        <v>93.320188606289705</v>
      </c>
      <c r="K46" s="53">
        <f t="shared" si="3"/>
        <v>77.63220260282371</v>
      </c>
      <c r="L46" s="54">
        <f t="shared" si="3"/>
        <v>93.492046830190844</v>
      </c>
      <c r="M46" s="52">
        <f t="shared" si="3"/>
        <v>93.480886006798428</v>
      </c>
    </row>
    <row r="47" spans="1:13" x14ac:dyDescent="0.35">
      <c r="A47" s="63">
        <v>-0.05</v>
      </c>
      <c r="B47" s="66" t="s">
        <v>38</v>
      </c>
      <c r="C47" s="2" t="s">
        <v>10</v>
      </c>
      <c r="D47" s="50">
        <v>95.75</v>
      </c>
      <c r="E47" s="50">
        <v>96.82</v>
      </c>
      <c r="F47" s="50">
        <v>93.794739102492201</v>
      </c>
      <c r="G47" s="50">
        <v>93.800257172789003</v>
      </c>
      <c r="H47" s="50">
        <v>94.09</v>
      </c>
      <c r="I47" s="50">
        <v>93.508100607111899</v>
      </c>
      <c r="J47" s="50">
        <v>98.11</v>
      </c>
      <c r="K47" s="50">
        <v>92.077496746607196</v>
      </c>
      <c r="L47" s="50">
        <v>98.12</v>
      </c>
      <c r="M47" s="50">
        <v>97.804546664448495</v>
      </c>
    </row>
    <row r="48" spans="1:13" x14ac:dyDescent="0.35">
      <c r="A48" s="64"/>
      <c r="B48" s="64"/>
      <c r="C48" s="2" t="s">
        <v>11</v>
      </c>
      <c r="D48" s="54">
        <v>91.746021898792662</v>
      </c>
      <c r="E48" s="53">
        <v>87.557260028743272</v>
      </c>
      <c r="F48" s="52">
        <v>97.195086031754769</v>
      </c>
      <c r="G48" s="52">
        <v>97.6672824623477</v>
      </c>
      <c r="H48" s="53">
        <v>83.737820680401128</v>
      </c>
      <c r="I48" s="52">
        <v>97.090114845346307</v>
      </c>
      <c r="J48" s="54">
        <v>94.949573312645498</v>
      </c>
      <c r="K48" s="53">
        <v>86.316330955902458</v>
      </c>
      <c r="L48" s="54">
        <v>96.517675634679293</v>
      </c>
      <c r="M48" s="52">
        <v>99.159802306424993</v>
      </c>
    </row>
    <row r="49" spans="1:14" ht="15" thickBot="1" x14ac:dyDescent="0.4">
      <c r="A49" s="65"/>
      <c r="B49" s="65"/>
      <c r="C49" s="2" t="s">
        <v>14</v>
      </c>
      <c r="D49" s="54">
        <f>D47*0.95</f>
        <v>90.962499999999991</v>
      </c>
      <c r="E49" s="53">
        <f>E47*0.95</f>
        <v>91.978999999999985</v>
      </c>
      <c r="F49" s="50"/>
      <c r="G49" s="50"/>
      <c r="H49" s="53">
        <f t="shared" ref="H49:L49" si="4">H47*0.95</f>
        <v>89.385499999999993</v>
      </c>
      <c r="I49" s="54"/>
      <c r="J49" s="54">
        <f t="shared" si="4"/>
        <v>93.204499999999996</v>
      </c>
      <c r="K49" s="53">
        <f t="shared" si="4"/>
        <v>87.473621909276829</v>
      </c>
      <c r="L49" s="54">
        <f t="shared" si="4"/>
        <v>93.213999999999999</v>
      </c>
      <c r="M49" s="9"/>
    </row>
    <row r="50" spans="1:14" x14ac:dyDescent="0.35">
      <c r="A50" s="63">
        <v>-0.05</v>
      </c>
      <c r="B50" s="66" t="s">
        <v>37</v>
      </c>
      <c r="C50" s="2" t="s">
        <v>10</v>
      </c>
      <c r="D50" s="3">
        <v>86.375</v>
      </c>
      <c r="E50" s="3">
        <v>86.375</v>
      </c>
      <c r="F50" s="3">
        <v>86.375</v>
      </c>
      <c r="G50" s="3">
        <v>86.375</v>
      </c>
      <c r="H50" s="3">
        <v>86.375</v>
      </c>
      <c r="I50" s="3">
        <v>86.375</v>
      </c>
      <c r="J50" s="3">
        <v>86.375</v>
      </c>
      <c r="K50" s="3">
        <v>86.375</v>
      </c>
      <c r="L50" s="3">
        <v>86.375</v>
      </c>
      <c r="M50" s="3">
        <v>86.375</v>
      </c>
    </row>
    <row r="51" spans="1:14" x14ac:dyDescent="0.35">
      <c r="A51" s="64"/>
      <c r="B51" s="64"/>
      <c r="C51" s="2" t="s">
        <v>11</v>
      </c>
      <c r="D51" s="4">
        <v>84.23</v>
      </c>
      <c r="E51" s="4">
        <v>85.563000000000002</v>
      </c>
      <c r="F51" s="4">
        <v>85.084999999999994</v>
      </c>
      <c r="G51" s="4">
        <v>85.174999999999997</v>
      </c>
      <c r="H51" s="4">
        <v>84.091999999999999</v>
      </c>
      <c r="I51" s="4">
        <v>83.328000000000003</v>
      </c>
      <c r="J51" s="4">
        <v>85.4</v>
      </c>
      <c r="K51" s="4">
        <v>82.584000000000003</v>
      </c>
      <c r="L51" s="4">
        <v>82.897999999999996</v>
      </c>
      <c r="M51" s="4">
        <v>85.004000000000005</v>
      </c>
      <c r="N51" s="42"/>
    </row>
    <row r="52" spans="1:14" x14ac:dyDescent="0.35">
      <c r="A52" s="65"/>
      <c r="B52" s="65"/>
      <c r="C52" s="2" t="s">
        <v>14</v>
      </c>
      <c r="D52" s="54">
        <f>D50*0.95</f>
        <v>82.056249999999991</v>
      </c>
      <c r="E52" s="54">
        <f t="shared" ref="E52:M52" si="5">E50*0.95</f>
        <v>82.056249999999991</v>
      </c>
      <c r="F52" s="54">
        <f t="shared" si="5"/>
        <v>82.056249999999991</v>
      </c>
      <c r="G52" s="54">
        <f t="shared" si="5"/>
        <v>82.056249999999991</v>
      </c>
      <c r="H52" s="54">
        <f t="shared" si="5"/>
        <v>82.056249999999991</v>
      </c>
      <c r="I52" s="54">
        <f t="shared" si="5"/>
        <v>82.056249999999991</v>
      </c>
      <c r="J52" s="54">
        <f t="shared" si="5"/>
        <v>82.056249999999991</v>
      </c>
      <c r="K52" s="54">
        <f t="shared" si="5"/>
        <v>82.056249999999991</v>
      </c>
      <c r="L52" s="54">
        <f t="shared" si="5"/>
        <v>82.056249999999991</v>
      </c>
      <c r="M52" s="54">
        <f t="shared" si="5"/>
        <v>82.056249999999991</v>
      </c>
    </row>
  </sheetData>
  <mergeCells count="39">
    <mergeCell ref="A7:A9"/>
    <mergeCell ref="B7:B9"/>
    <mergeCell ref="B1:M1"/>
    <mergeCell ref="A3:A4"/>
    <mergeCell ref="B3:B4"/>
    <mergeCell ref="A5:A6"/>
    <mergeCell ref="B5:B6"/>
    <mergeCell ref="A10:A12"/>
    <mergeCell ref="B10:B12"/>
    <mergeCell ref="A13:A14"/>
    <mergeCell ref="B13:B14"/>
    <mergeCell ref="A15:A16"/>
    <mergeCell ref="B15:B16"/>
    <mergeCell ref="A17:A18"/>
    <mergeCell ref="B17:B18"/>
    <mergeCell ref="A20:A21"/>
    <mergeCell ref="B20:B21"/>
    <mergeCell ref="A22:A24"/>
    <mergeCell ref="B22:B24"/>
    <mergeCell ref="A25:A27"/>
    <mergeCell ref="B25:B27"/>
    <mergeCell ref="A28:A30"/>
    <mergeCell ref="B28:B30"/>
    <mergeCell ref="A31:A33"/>
    <mergeCell ref="B31:B33"/>
    <mergeCell ref="A34:A36"/>
    <mergeCell ref="B34:B36"/>
    <mergeCell ref="A37:A39"/>
    <mergeCell ref="B37:B39"/>
    <mergeCell ref="A40:A41"/>
    <mergeCell ref="B40:B41"/>
    <mergeCell ref="A50:A52"/>
    <mergeCell ref="B50:B52"/>
    <mergeCell ref="A42:A43"/>
    <mergeCell ref="B42:B43"/>
    <mergeCell ref="A44:A46"/>
    <mergeCell ref="B44:B46"/>
    <mergeCell ref="A47:A49"/>
    <mergeCell ref="B47:B49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6781-648F-4600-9BC3-A47269559663}">
  <dimension ref="A1:N67"/>
  <sheetViews>
    <sheetView tabSelected="1" topLeftCell="E1" workbookViewId="0">
      <selection activeCell="E15" sqref="E15"/>
    </sheetView>
  </sheetViews>
  <sheetFormatPr baseColWidth="10" defaultRowHeight="14.5" x14ac:dyDescent="0.35"/>
  <cols>
    <col min="3" max="3" width="8.6328125" bestFit="1" customWidth="1"/>
    <col min="4" max="4" width="0" hidden="1" customWidth="1"/>
    <col min="5" max="5" width="12.1796875" bestFit="1" customWidth="1"/>
    <col min="6" max="6" width="9.90625" bestFit="1" customWidth="1"/>
    <col min="7" max="7" width="12.1796875" bestFit="1" customWidth="1"/>
    <col min="10" max="10" width="7.36328125" bestFit="1" customWidth="1"/>
    <col min="11" max="11" width="12.1796875" bestFit="1" customWidth="1"/>
    <col min="12" max="13" width="7.36328125" bestFit="1" customWidth="1"/>
  </cols>
  <sheetData>
    <row r="1" spans="1:13" ht="16" customHeight="1" x14ac:dyDescent="0.35">
      <c r="A1" s="5" t="s">
        <v>17</v>
      </c>
      <c r="B1" s="5" t="s">
        <v>16</v>
      </c>
      <c r="C1" s="6"/>
      <c r="D1" s="1" t="s">
        <v>20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</row>
    <row r="3" spans="1:13" x14ac:dyDescent="0.35">
      <c r="A3" s="74" t="s">
        <v>33</v>
      </c>
      <c r="B3" s="75" t="s">
        <v>31</v>
      </c>
      <c r="C3" s="18" t="s">
        <v>10</v>
      </c>
      <c r="D3" s="18">
        <v>90</v>
      </c>
      <c r="E3" s="18">
        <v>90</v>
      </c>
      <c r="F3" s="18">
        <v>90</v>
      </c>
      <c r="G3" s="18">
        <v>90</v>
      </c>
      <c r="H3" s="18">
        <v>90</v>
      </c>
      <c r="I3" s="18">
        <v>90</v>
      </c>
      <c r="J3" s="18">
        <v>90</v>
      </c>
      <c r="K3" s="18">
        <v>90</v>
      </c>
      <c r="L3" s="18">
        <v>90</v>
      </c>
      <c r="M3" s="18">
        <v>90</v>
      </c>
    </row>
    <row r="4" spans="1:13" x14ac:dyDescent="0.35">
      <c r="A4" s="74"/>
      <c r="B4" s="75"/>
      <c r="C4" s="3" t="s">
        <v>11</v>
      </c>
      <c r="D4" s="12">
        <v>35.75</v>
      </c>
      <c r="E4" s="12">
        <v>55.88</v>
      </c>
      <c r="F4" s="12">
        <v>72.97</v>
      </c>
      <c r="G4" s="12">
        <v>7.01</v>
      </c>
      <c r="H4" s="12">
        <v>53.27</v>
      </c>
      <c r="I4" s="12">
        <v>35.36</v>
      </c>
      <c r="J4" s="12">
        <v>53.85</v>
      </c>
      <c r="K4" s="12">
        <v>31.03</v>
      </c>
      <c r="L4" s="12">
        <v>47.44</v>
      </c>
      <c r="M4" s="12">
        <v>37.31</v>
      </c>
    </row>
    <row r="6" spans="1:13" s="2" customFormat="1" x14ac:dyDescent="0.35">
      <c r="A6" s="67"/>
      <c r="B6" s="69" t="s">
        <v>39</v>
      </c>
      <c r="C6" s="3" t="s">
        <v>10</v>
      </c>
      <c r="D6" s="3">
        <v>80</v>
      </c>
      <c r="E6" s="3">
        <v>80</v>
      </c>
      <c r="F6" s="3">
        <v>80</v>
      </c>
      <c r="G6" s="3">
        <v>80</v>
      </c>
      <c r="H6" s="3">
        <v>80</v>
      </c>
      <c r="I6" s="3">
        <v>80</v>
      </c>
      <c r="J6" s="3">
        <v>80</v>
      </c>
      <c r="K6" s="3">
        <v>80</v>
      </c>
      <c r="L6" s="3">
        <v>80</v>
      </c>
      <c r="M6" s="3">
        <v>80</v>
      </c>
    </row>
    <row r="7" spans="1:13" s="2" customFormat="1" x14ac:dyDescent="0.35">
      <c r="A7" s="77"/>
      <c r="B7" s="70"/>
      <c r="C7" s="3" t="s">
        <v>11</v>
      </c>
      <c r="D7" s="11">
        <v>92.96</v>
      </c>
      <c r="E7" s="25">
        <v>88.33</v>
      </c>
      <c r="F7" s="25">
        <v>100</v>
      </c>
      <c r="G7" s="11">
        <v>95.33</v>
      </c>
      <c r="H7" s="11">
        <v>90.54</v>
      </c>
      <c r="I7" s="25">
        <v>90.42</v>
      </c>
      <c r="J7" s="25">
        <v>98.9</v>
      </c>
      <c r="K7" s="25">
        <v>90.38</v>
      </c>
      <c r="L7" s="25">
        <v>91.86</v>
      </c>
      <c r="M7" s="11">
        <v>88.81</v>
      </c>
    </row>
    <row r="9" spans="1:13" ht="20.149999999999999" customHeight="1" x14ac:dyDescent="0.35">
      <c r="A9" s="67">
        <v>0.05</v>
      </c>
      <c r="B9" s="69" t="s">
        <v>19</v>
      </c>
      <c r="C9" s="3" t="s">
        <v>10</v>
      </c>
      <c r="D9" s="3">
        <v>90</v>
      </c>
      <c r="E9" s="3">
        <v>90</v>
      </c>
      <c r="F9" s="3">
        <v>90</v>
      </c>
      <c r="G9" s="3">
        <v>90</v>
      </c>
      <c r="H9" s="3">
        <v>90</v>
      </c>
      <c r="I9" s="3">
        <v>90</v>
      </c>
      <c r="J9" s="3">
        <v>90</v>
      </c>
      <c r="K9" s="3">
        <v>90</v>
      </c>
      <c r="L9" s="3">
        <v>90</v>
      </c>
      <c r="M9" s="3">
        <v>90</v>
      </c>
    </row>
    <row r="10" spans="1:13" ht="20.149999999999999" customHeight="1" x14ac:dyDescent="0.4">
      <c r="A10" s="68"/>
      <c r="B10" s="70"/>
      <c r="C10" s="3" t="s">
        <v>11</v>
      </c>
      <c r="D10" s="11">
        <v>99.92</v>
      </c>
      <c r="E10" s="47">
        <v>100</v>
      </c>
      <c r="F10" s="11">
        <v>100</v>
      </c>
      <c r="G10" s="11">
        <v>100</v>
      </c>
      <c r="H10" s="11">
        <v>100</v>
      </c>
      <c r="I10" s="11">
        <v>97.95</v>
      </c>
      <c r="J10" s="11">
        <v>96.26</v>
      </c>
      <c r="K10" s="11">
        <v>98.96</v>
      </c>
      <c r="L10" s="11">
        <v>100</v>
      </c>
      <c r="M10" s="11">
        <v>100</v>
      </c>
    </row>
    <row r="14" spans="1:13" x14ac:dyDescent="0.35">
      <c r="A14" s="67">
        <v>-0.05</v>
      </c>
      <c r="B14" s="69" t="s">
        <v>27</v>
      </c>
      <c r="C14" s="3" t="s">
        <v>10</v>
      </c>
      <c r="D14" s="3">
        <v>90</v>
      </c>
      <c r="E14" s="3">
        <v>90</v>
      </c>
      <c r="F14" s="3">
        <v>90</v>
      </c>
      <c r="G14" s="3">
        <v>90</v>
      </c>
      <c r="H14" s="3">
        <v>90</v>
      </c>
      <c r="I14" s="3">
        <v>90</v>
      </c>
      <c r="J14" s="3">
        <v>90</v>
      </c>
      <c r="K14" s="3">
        <v>90</v>
      </c>
      <c r="L14" s="3">
        <v>90</v>
      </c>
      <c r="M14" s="3">
        <v>90</v>
      </c>
    </row>
    <row r="15" spans="1:13" x14ac:dyDescent="0.35">
      <c r="A15" s="81"/>
      <c r="B15" s="76"/>
      <c r="C15" s="3" t="s">
        <v>11</v>
      </c>
      <c r="D15" s="28">
        <v>79.849999999999994</v>
      </c>
      <c r="E15" s="28" t="s">
        <v>44</v>
      </c>
      <c r="F15" s="28">
        <v>49.6</v>
      </c>
      <c r="G15" s="28">
        <v>47.6</v>
      </c>
      <c r="H15" s="29">
        <v>96.76</v>
      </c>
      <c r="I15" s="29">
        <v>95.93</v>
      </c>
      <c r="J15" s="29">
        <v>99.27</v>
      </c>
      <c r="K15" s="28">
        <v>56.12</v>
      </c>
      <c r="L15" s="29">
        <v>94.76</v>
      </c>
      <c r="M15" s="29">
        <v>95.04</v>
      </c>
    </row>
    <row r="16" spans="1:13" x14ac:dyDescent="0.35">
      <c r="A16" s="77"/>
      <c r="B16" s="70"/>
      <c r="C16" s="19" t="s">
        <v>14</v>
      </c>
      <c r="D16" s="12">
        <f>D14*0.95</f>
        <v>85.5</v>
      </c>
      <c r="E16" s="3"/>
      <c r="F16" s="3"/>
      <c r="G16" s="3"/>
      <c r="H16" s="30"/>
      <c r="I16" s="3"/>
      <c r="J16" s="3"/>
      <c r="K16" s="3"/>
      <c r="L16" s="3"/>
      <c r="M16" s="3"/>
    </row>
    <row r="18" spans="1:14" x14ac:dyDescent="0.35">
      <c r="A18" s="72" t="s">
        <v>28</v>
      </c>
      <c r="B18" s="72" t="s">
        <v>22</v>
      </c>
      <c r="C18" s="3" t="s">
        <v>10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</row>
    <row r="19" spans="1:14" x14ac:dyDescent="0.35">
      <c r="A19" s="73"/>
      <c r="B19" s="73"/>
      <c r="C19" s="3" t="s">
        <v>11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</row>
    <row r="20" spans="1:14" x14ac:dyDescent="0.35">
      <c r="A20" s="68"/>
      <c r="B20" s="68"/>
      <c r="C20" s="3" t="s">
        <v>28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2" spans="1:14" ht="20.149999999999999" customHeight="1" x14ac:dyDescent="0.35">
      <c r="A22" s="71" t="s">
        <v>25</v>
      </c>
      <c r="B22" s="75" t="s">
        <v>24</v>
      </c>
      <c r="C22" s="2" t="s">
        <v>10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</row>
    <row r="23" spans="1:14" ht="20.149999999999999" customHeight="1" x14ac:dyDescent="0.35">
      <c r="A23" s="71"/>
      <c r="B23" s="75"/>
      <c r="C23" s="2" t="s">
        <v>11</v>
      </c>
      <c r="D23" s="11">
        <v>100</v>
      </c>
      <c r="E23" s="11">
        <v>100</v>
      </c>
      <c r="F23" s="11">
        <v>100</v>
      </c>
      <c r="G23" s="11">
        <v>100</v>
      </c>
      <c r="H23" s="11">
        <v>100</v>
      </c>
      <c r="I23" s="11">
        <v>100</v>
      </c>
      <c r="J23" s="11">
        <v>100</v>
      </c>
      <c r="K23" s="11">
        <v>100</v>
      </c>
      <c r="L23" s="11">
        <v>100</v>
      </c>
      <c r="M23" s="11">
        <v>100</v>
      </c>
    </row>
    <row r="25" spans="1:14" x14ac:dyDescent="0.35">
      <c r="A25" s="67"/>
      <c r="B25" s="69" t="s">
        <v>32</v>
      </c>
      <c r="C25" s="3" t="s">
        <v>10</v>
      </c>
      <c r="D25" s="20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</row>
    <row r="26" spans="1:14" x14ac:dyDescent="0.35">
      <c r="A26" s="77"/>
      <c r="B26" s="70"/>
      <c r="C26" s="3" t="s">
        <v>11</v>
      </c>
      <c r="D26" s="38">
        <v>1352102.64</v>
      </c>
      <c r="E26" s="38">
        <v>261533.31</v>
      </c>
      <c r="F26" s="62">
        <v>44305.23</v>
      </c>
      <c r="G26" s="38">
        <v>441432.79</v>
      </c>
      <c r="H26" s="23"/>
      <c r="I26" s="23"/>
      <c r="J26" s="22"/>
      <c r="K26" s="38">
        <v>565448.89</v>
      </c>
      <c r="L26" s="36"/>
      <c r="M26" s="23"/>
    </row>
    <row r="28" spans="1:14" s="2" customFormat="1" x14ac:dyDescent="0.35">
      <c r="A28" s="67"/>
      <c r="B28" s="69" t="s">
        <v>30</v>
      </c>
      <c r="C28" s="3" t="s">
        <v>10</v>
      </c>
      <c r="D28" s="3">
        <v>95</v>
      </c>
      <c r="E28" s="3">
        <v>95</v>
      </c>
      <c r="F28" s="3">
        <v>95</v>
      </c>
      <c r="G28" s="3">
        <v>95</v>
      </c>
      <c r="H28" s="3">
        <v>95</v>
      </c>
      <c r="I28" s="3">
        <v>95</v>
      </c>
      <c r="J28" s="3">
        <v>95</v>
      </c>
      <c r="K28" s="3">
        <v>95</v>
      </c>
      <c r="L28" s="3">
        <v>95</v>
      </c>
      <c r="M28" s="3">
        <v>95</v>
      </c>
      <c r="N28" s="27"/>
    </row>
    <row r="29" spans="1:14" s="2" customFormat="1" x14ac:dyDescent="0.35">
      <c r="A29" s="77"/>
      <c r="B29" s="70"/>
      <c r="C29" s="3" t="s">
        <v>11</v>
      </c>
      <c r="D29" s="12">
        <v>94.8</v>
      </c>
      <c r="E29" s="25">
        <v>98</v>
      </c>
      <c r="F29" s="25">
        <v>98</v>
      </c>
      <c r="G29" s="11">
        <v>95</v>
      </c>
      <c r="H29" s="12">
        <v>98</v>
      </c>
      <c r="I29" s="26">
        <v>94</v>
      </c>
      <c r="J29" s="26">
        <v>98</v>
      </c>
      <c r="K29" s="25">
        <v>95</v>
      </c>
      <c r="L29" s="26">
        <v>86</v>
      </c>
      <c r="M29" s="12">
        <v>92</v>
      </c>
      <c r="N29" s="27"/>
    </row>
    <row r="32" spans="1:14" x14ac:dyDescent="0.35">
      <c r="A32" s="73"/>
      <c r="B32" s="85" t="s">
        <v>9</v>
      </c>
      <c r="C32" s="41" t="s">
        <v>10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61">
        <v>0</v>
      </c>
    </row>
    <row r="33" spans="1:14" x14ac:dyDescent="0.35">
      <c r="A33" s="68"/>
      <c r="B33" s="86"/>
      <c r="C33" s="41" t="s">
        <v>11</v>
      </c>
      <c r="D33" s="28">
        <v>0.21405072481321311</v>
      </c>
      <c r="E33" s="29">
        <v>0</v>
      </c>
      <c r="F33" s="28">
        <v>0.73209121856583326</v>
      </c>
      <c r="G33" s="28">
        <v>0.69046563621575119</v>
      </c>
      <c r="H33" s="29">
        <v>0</v>
      </c>
      <c r="I33" s="29">
        <v>0</v>
      </c>
      <c r="J33" s="29">
        <v>0</v>
      </c>
      <c r="K33" s="28">
        <v>0.48735722260967124</v>
      </c>
      <c r="L33" s="29">
        <v>0</v>
      </c>
      <c r="M33" s="29">
        <v>0</v>
      </c>
      <c r="N33" s="44"/>
    </row>
    <row r="34" spans="1:14" x14ac:dyDescent="0.35">
      <c r="A34" s="72"/>
      <c r="B34" s="87" t="s">
        <v>12</v>
      </c>
      <c r="C34" s="41" t="s">
        <v>10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/>
    </row>
    <row r="35" spans="1:14" x14ac:dyDescent="0.35">
      <c r="A35" s="68"/>
      <c r="B35" s="86"/>
      <c r="C35" s="41" t="s">
        <v>11</v>
      </c>
      <c r="D35" s="28">
        <v>15.697053152968961</v>
      </c>
      <c r="E35" s="28">
        <v>18.19451890118102</v>
      </c>
      <c r="F35" s="28">
        <v>12.445550715619166</v>
      </c>
      <c r="G35" s="28">
        <v>54.546785261044342</v>
      </c>
      <c r="H35" s="29">
        <v>0</v>
      </c>
      <c r="I35" s="29">
        <v>0</v>
      </c>
      <c r="J35" s="29">
        <v>0</v>
      </c>
      <c r="K35" s="28">
        <v>46.786293370528433</v>
      </c>
      <c r="L35" s="29">
        <v>0</v>
      </c>
      <c r="M35" s="29">
        <v>0</v>
      </c>
    </row>
    <row r="37" spans="1:14" x14ac:dyDescent="0.35">
      <c r="A37" s="74" t="s">
        <v>26</v>
      </c>
      <c r="B37" s="75" t="s">
        <v>18</v>
      </c>
      <c r="C37" s="2" t="s">
        <v>10</v>
      </c>
      <c r="D37" s="3">
        <v>40</v>
      </c>
      <c r="E37" s="3">
        <v>40</v>
      </c>
      <c r="F37" s="3">
        <v>40</v>
      </c>
      <c r="G37" s="3">
        <v>40</v>
      </c>
      <c r="H37" s="3">
        <v>40</v>
      </c>
      <c r="I37" s="3">
        <v>40</v>
      </c>
      <c r="J37" s="3">
        <v>40</v>
      </c>
      <c r="K37" s="3">
        <v>40</v>
      </c>
      <c r="L37" s="3">
        <v>40</v>
      </c>
      <c r="M37" s="3">
        <v>40</v>
      </c>
    </row>
    <row r="38" spans="1:14" x14ac:dyDescent="0.35">
      <c r="A38" s="71"/>
      <c r="B38" s="75"/>
      <c r="C38" s="2" t="s">
        <v>11</v>
      </c>
      <c r="D38" s="25">
        <v>42</v>
      </c>
      <c r="E38" s="12">
        <v>55</v>
      </c>
      <c r="F38" s="11">
        <v>41</v>
      </c>
      <c r="G38" s="11">
        <v>40</v>
      </c>
      <c r="H38" s="11">
        <v>39</v>
      </c>
      <c r="I38" s="11">
        <v>41</v>
      </c>
      <c r="J38" s="11">
        <v>39</v>
      </c>
      <c r="K38" s="11">
        <v>39</v>
      </c>
      <c r="L38" s="11">
        <v>43</v>
      </c>
      <c r="M38" s="11">
        <v>38</v>
      </c>
    </row>
    <row r="39" spans="1:14" x14ac:dyDescent="0.35">
      <c r="A39" s="71"/>
      <c r="B39" s="75"/>
      <c r="C39" s="2" t="s">
        <v>14</v>
      </c>
      <c r="D39" s="15">
        <f>D37*1.1</f>
        <v>44</v>
      </c>
      <c r="E39" s="14">
        <f>E37*1.2</f>
        <v>48</v>
      </c>
      <c r="F39" s="15">
        <f>F37*1.1</f>
        <v>44</v>
      </c>
      <c r="G39" s="15">
        <f>G37*1.1</f>
        <v>44</v>
      </c>
      <c r="H39" s="15">
        <f t="shared" ref="H39:L39" si="0">H37*1.1</f>
        <v>44</v>
      </c>
      <c r="I39" s="15">
        <f t="shared" si="0"/>
        <v>44</v>
      </c>
      <c r="J39" s="8"/>
      <c r="K39" s="8"/>
      <c r="L39" s="15">
        <f t="shared" si="0"/>
        <v>44</v>
      </c>
      <c r="M39" s="15">
        <f>M37*0.9</f>
        <v>36</v>
      </c>
    </row>
    <row r="41" spans="1:14" x14ac:dyDescent="0.35">
      <c r="A41" s="78" t="s">
        <v>29</v>
      </c>
      <c r="B41" s="72" t="s">
        <v>13</v>
      </c>
      <c r="C41" s="2" t="s">
        <v>10</v>
      </c>
      <c r="D41" s="43">
        <v>7.0013136317194844</v>
      </c>
      <c r="E41" s="43">
        <v>6.739759142538607</v>
      </c>
      <c r="F41" s="43">
        <v>6.5023033307450344</v>
      </c>
      <c r="G41" s="43">
        <v>5.6407535180742254</v>
      </c>
      <c r="H41" s="43">
        <v>7.1330489850534269</v>
      </c>
      <c r="I41" s="43">
        <v>8.4946481599985333</v>
      </c>
      <c r="J41" s="43">
        <v>6.8894045072117853</v>
      </c>
      <c r="K41" s="43">
        <v>7.9764878241302908</v>
      </c>
      <c r="L41" s="43">
        <v>8.7113688504283218</v>
      </c>
      <c r="M41" s="43">
        <v>6.8468725878132863</v>
      </c>
      <c r="N41" s="51"/>
    </row>
    <row r="42" spans="1:14" x14ac:dyDescent="0.35">
      <c r="A42" s="79"/>
      <c r="B42" s="73"/>
      <c r="C42" s="2" t="s">
        <v>11</v>
      </c>
      <c r="D42" s="60">
        <v>7.1290932449828128</v>
      </c>
      <c r="E42" s="60">
        <v>6.9955406720476274</v>
      </c>
      <c r="F42" s="60">
        <v>6.9937421694691722</v>
      </c>
      <c r="G42" s="31">
        <v>3.3770747272862196</v>
      </c>
      <c r="H42" s="60">
        <v>7.606159691215816</v>
      </c>
      <c r="I42" s="31">
        <v>9.8028400009542214</v>
      </c>
      <c r="J42" s="33">
        <v>7.8917290956249264</v>
      </c>
      <c r="K42" s="60">
        <v>7.8950601783704224</v>
      </c>
      <c r="L42" s="60">
        <v>9.2393838467943379</v>
      </c>
      <c r="M42" s="33">
        <v>6.1505839380977561</v>
      </c>
      <c r="N42" s="51"/>
    </row>
    <row r="43" spans="1:14" ht="15" thickBot="1" x14ac:dyDescent="0.4">
      <c r="A43" s="80"/>
      <c r="B43" s="68"/>
      <c r="C43" s="2" t="s">
        <v>14</v>
      </c>
      <c r="D43" s="30"/>
      <c r="E43" s="25">
        <f t="shared" ref="E43:L43" si="1">E41*1.1</f>
        <v>7.4137350567924685</v>
      </c>
      <c r="F43" s="25">
        <f>F41*1.1</f>
        <v>7.152533663819538</v>
      </c>
      <c r="G43" s="26">
        <f>G41*0.8</f>
        <v>4.5126028144593802</v>
      </c>
      <c r="H43" s="25">
        <f>H41*1.1</f>
        <v>7.8463538835587698</v>
      </c>
      <c r="I43" s="26">
        <f>I41*1.2</f>
        <v>10.193577791998239</v>
      </c>
      <c r="J43" s="32">
        <f t="shared" si="1"/>
        <v>7.5783449579329645</v>
      </c>
      <c r="K43" s="25">
        <f>K41*0.9</f>
        <v>7.1788390417172616</v>
      </c>
      <c r="L43" s="25">
        <f t="shared" si="1"/>
        <v>9.5825057354711554</v>
      </c>
      <c r="M43" s="32">
        <f>M41*0.8</f>
        <v>5.4774980702506291</v>
      </c>
      <c r="N43" s="51"/>
    </row>
    <row r="44" spans="1:14" x14ac:dyDescent="0.35">
      <c r="A44" s="63">
        <v>-0.03</v>
      </c>
      <c r="B44" s="66" t="s">
        <v>23</v>
      </c>
      <c r="C44" s="2" t="s">
        <v>10</v>
      </c>
      <c r="D44" s="43">
        <v>57.401061241999997</v>
      </c>
      <c r="E44" s="43">
        <v>67.665418227000004</v>
      </c>
      <c r="F44" s="43">
        <v>53.385583965000002</v>
      </c>
      <c r="G44" s="43">
        <v>44.071490845</v>
      </c>
      <c r="H44" s="43">
        <v>65.830046611</v>
      </c>
      <c r="I44" s="43">
        <v>49.234181894999999</v>
      </c>
      <c r="J44" s="43">
        <v>58.446866485000001</v>
      </c>
      <c r="K44" s="43">
        <v>61.926236107999998</v>
      </c>
      <c r="L44" s="43">
        <v>55.700491274999997</v>
      </c>
      <c r="M44" s="43">
        <v>53.092783505</v>
      </c>
    </row>
    <row r="45" spans="1:14" x14ac:dyDescent="0.35">
      <c r="A45" s="64"/>
      <c r="B45" s="64"/>
      <c r="C45" s="2" t="s">
        <v>11</v>
      </c>
      <c r="D45" s="60">
        <v>60.158030693999997</v>
      </c>
      <c r="E45" s="60">
        <v>70.135665833000004</v>
      </c>
      <c r="F45" s="60">
        <v>54.113297240000001</v>
      </c>
      <c r="G45" s="60">
        <v>50.644329896000002</v>
      </c>
      <c r="H45" s="60">
        <v>66.320369382999999</v>
      </c>
      <c r="I45" s="60">
        <v>54.946775203000001</v>
      </c>
      <c r="J45" s="60">
        <v>61.468396356</v>
      </c>
      <c r="K45" s="60">
        <v>64.536199095000001</v>
      </c>
      <c r="L45" s="60">
        <v>56.640296245999998</v>
      </c>
      <c r="M45" s="60">
        <v>54.663167104000003</v>
      </c>
    </row>
    <row r="46" spans="1:14" x14ac:dyDescent="0.35">
      <c r="A46" s="65"/>
      <c r="B46" s="65"/>
      <c r="C46" s="2" t="s">
        <v>14</v>
      </c>
      <c r="D46" s="9"/>
      <c r="E46" s="9"/>
      <c r="F46" s="9"/>
      <c r="G46" s="9"/>
      <c r="H46" s="9"/>
      <c r="I46" s="9"/>
      <c r="J46" s="9"/>
      <c r="K46" s="9"/>
      <c r="L46" s="9"/>
      <c r="M46" s="9"/>
    </row>
    <row r="48" spans="1:14" x14ac:dyDescent="0.35">
      <c r="A48" s="71">
        <v>0.1</v>
      </c>
      <c r="B48" s="69" t="s">
        <v>34</v>
      </c>
      <c r="C48" s="2" t="s">
        <v>10</v>
      </c>
      <c r="D48" s="8">
        <v>16.29</v>
      </c>
      <c r="E48" s="8">
        <v>10.36</v>
      </c>
      <c r="F48" s="8">
        <v>8.18</v>
      </c>
      <c r="G48" s="8">
        <v>8.31</v>
      </c>
      <c r="H48" s="8">
        <v>20.7</v>
      </c>
      <c r="I48" s="8">
        <v>21.46</v>
      </c>
      <c r="J48" s="8">
        <v>12.23</v>
      </c>
      <c r="K48" s="8">
        <v>14.38</v>
      </c>
      <c r="L48" s="8">
        <v>7.86</v>
      </c>
      <c r="M48" s="8">
        <v>6.48</v>
      </c>
    </row>
    <row r="49" spans="1:13" x14ac:dyDescent="0.35">
      <c r="A49" s="71"/>
      <c r="B49" s="76"/>
      <c r="C49" s="2" t="s">
        <v>11</v>
      </c>
      <c r="D49" s="15">
        <v>15.96</v>
      </c>
      <c r="E49" s="15">
        <v>9.17</v>
      </c>
      <c r="F49" s="13">
        <v>8.26</v>
      </c>
      <c r="G49" s="13">
        <v>8.5399999999999991</v>
      </c>
      <c r="H49" s="15">
        <v>20.55</v>
      </c>
      <c r="I49" s="15">
        <v>21.35</v>
      </c>
      <c r="J49" s="15">
        <v>11.79</v>
      </c>
      <c r="K49" s="15">
        <v>14.04</v>
      </c>
      <c r="L49" s="15">
        <v>7.73</v>
      </c>
      <c r="M49" s="15">
        <v>6</v>
      </c>
    </row>
    <row r="50" spans="1:13" x14ac:dyDescent="0.35">
      <c r="A50" s="71"/>
      <c r="B50" s="70"/>
      <c r="C50" s="2" t="s">
        <v>14</v>
      </c>
      <c r="D50" s="3"/>
      <c r="E50" s="3"/>
      <c r="F50" s="4">
        <f>F48*1.1</f>
        <v>8.9980000000000011</v>
      </c>
      <c r="G50" s="4">
        <f>G48*1.1</f>
        <v>9.1410000000000018</v>
      </c>
      <c r="H50" s="3"/>
      <c r="I50" s="3"/>
      <c r="J50" s="3"/>
      <c r="K50" s="3"/>
      <c r="L50" s="3"/>
      <c r="M50" s="3"/>
    </row>
    <row r="51" spans="1:13" x14ac:dyDescent="0.35">
      <c r="A51" s="71">
        <v>7.0000000000000007E-2</v>
      </c>
      <c r="B51" s="72" t="s">
        <v>35</v>
      </c>
      <c r="C51" s="2" t="s">
        <v>10</v>
      </c>
      <c r="D51" s="43">
        <v>4.663000094</v>
      </c>
      <c r="E51" s="43">
        <v>5.7713611480000004</v>
      </c>
      <c r="F51" s="43">
        <v>1.5132813350000001</v>
      </c>
      <c r="G51" s="43">
        <v>3.5708312809999998</v>
      </c>
      <c r="H51" s="43">
        <v>4.6416956799999998</v>
      </c>
      <c r="I51" s="43">
        <v>5.9045214350000004</v>
      </c>
      <c r="J51" s="43">
        <v>1.864794351</v>
      </c>
      <c r="K51" s="43">
        <v>10.732854904</v>
      </c>
      <c r="L51" s="43">
        <v>1.311867455</v>
      </c>
      <c r="M51" s="43">
        <v>1.3850736299999999</v>
      </c>
    </row>
    <row r="52" spans="1:13" x14ac:dyDescent="0.35">
      <c r="A52" s="71"/>
      <c r="B52" s="73"/>
      <c r="C52" s="2" t="s">
        <v>11</v>
      </c>
      <c r="D52" s="60">
        <v>4.1154587080000002</v>
      </c>
      <c r="E52" s="60">
        <v>4.3468245879999996</v>
      </c>
      <c r="F52" s="33">
        <v>1.55927259</v>
      </c>
      <c r="G52" s="60">
        <v>2.6011981130000001</v>
      </c>
      <c r="H52" s="31">
        <v>7.1197197619999999</v>
      </c>
      <c r="I52" s="60">
        <v>3.5376548250000002</v>
      </c>
      <c r="J52" s="31">
        <v>2.4041768619999999</v>
      </c>
      <c r="K52" s="60">
        <v>8.3258740069999995</v>
      </c>
      <c r="L52" s="60">
        <v>1.3096156569999999</v>
      </c>
      <c r="M52" s="60">
        <v>1.1095760299999999</v>
      </c>
    </row>
    <row r="53" spans="1:13" x14ac:dyDescent="0.35">
      <c r="A53" s="71"/>
      <c r="B53" s="68"/>
      <c r="C53" s="2" t="s">
        <v>14</v>
      </c>
      <c r="D53" s="44"/>
      <c r="E53" s="44"/>
      <c r="F53" s="59">
        <f>F51*1.07</f>
        <v>1.6192110284500001</v>
      </c>
      <c r="G53" s="44"/>
      <c r="H53" s="28">
        <f t="shared" ref="H53:J53" si="2">H51*1.07</f>
        <v>4.9666143776</v>
      </c>
      <c r="I53" s="44"/>
      <c r="J53" s="28">
        <f t="shared" si="2"/>
        <v>1.9953299555700001</v>
      </c>
      <c r="K53" s="44"/>
      <c r="L53" s="28"/>
      <c r="M53" s="44"/>
    </row>
    <row r="54" spans="1:13" ht="15" thickBot="1" x14ac:dyDescent="0.4"/>
    <row r="55" spans="1:13" x14ac:dyDescent="0.35">
      <c r="A55" s="63">
        <v>-0.05</v>
      </c>
      <c r="B55" s="66" t="s">
        <v>38</v>
      </c>
      <c r="C55" s="2" t="s">
        <v>10</v>
      </c>
      <c r="D55" s="50">
        <v>95.75</v>
      </c>
      <c r="E55" s="50">
        <v>96.82</v>
      </c>
      <c r="F55" s="50">
        <v>93.794739102492201</v>
      </c>
      <c r="G55" s="50">
        <v>93.800257172789003</v>
      </c>
      <c r="H55" s="50">
        <v>94.09</v>
      </c>
      <c r="I55" s="50">
        <v>93.508100607111899</v>
      </c>
      <c r="J55" s="50">
        <v>98.11</v>
      </c>
      <c r="K55" s="50">
        <v>92.077496746607196</v>
      </c>
      <c r="L55" s="50">
        <v>98.12</v>
      </c>
      <c r="M55" s="50">
        <v>97.804546664448495</v>
      </c>
    </row>
    <row r="56" spans="1:13" x14ac:dyDescent="0.35">
      <c r="A56" s="64"/>
      <c r="B56" s="64"/>
      <c r="C56" s="2" t="s">
        <v>11</v>
      </c>
      <c r="D56" s="54">
        <v>91.746021898792662</v>
      </c>
      <c r="E56" s="53">
        <v>87.557260028743272</v>
      </c>
      <c r="F56" s="52">
        <v>97.195086031754769</v>
      </c>
      <c r="G56" s="52">
        <v>97.6672824623477</v>
      </c>
      <c r="H56" s="53">
        <v>83.737820680401128</v>
      </c>
      <c r="I56" s="52">
        <v>97.090114845346307</v>
      </c>
      <c r="J56" s="54">
        <v>94.949573312645498</v>
      </c>
      <c r="K56" s="53">
        <v>86.316330955902458</v>
      </c>
      <c r="L56" s="54">
        <v>96.517675634679293</v>
      </c>
      <c r="M56" s="52">
        <v>99.159802306424993</v>
      </c>
    </row>
    <row r="57" spans="1:13" x14ac:dyDescent="0.35">
      <c r="A57" s="65"/>
      <c r="B57" s="65"/>
      <c r="C57" s="2" t="s">
        <v>14</v>
      </c>
      <c r="D57" s="54">
        <f>D55*0.95</f>
        <v>90.962499999999991</v>
      </c>
      <c r="E57" s="53">
        <f>E55*0.95</f>
        <v>91.978999999999985</v>
      </c>
      <c r="F57" s="50"/>
      <c r="G57" s="50"/>
      <c r="H57" s="53">
        <f t="shared" ref="H57:L57" si="3">H55*0.95</f>
        <v>89.385499999999993</v>
      </c>
      <c r="I57" s="54"/>
      <c r="J57" s="54">
        <f t="shared" si="3"/>
        <v>93.204499999999996</v>
      </c>
      <c r="K57" s="53">
        <f t="shared" si="3"/>
        <v>87.473621909276829</v>
      </c>
      <c r="L57" s="54">
        <f t="shared" si="3"/>
        <v>93.213999999999999</v>
      </c>
      <c r="M57" s="9"/>
    </row>
    <row r="58" spans="1:13" ht="15" thickBot="1" x14ac:dyDescent="0.4"/>
    <row r="59" spans="1:13" x14ac:dyDescent="0.35">
      <c r="A59" s="63">
        <v>-7.0000000000000007E-2</v>
      </c>
      <c r="B59" s="66" t="s">
        <v>36</v>
      </c>
      <c r="C59" s="2" t="s">
        <v>10</v>
      </c>
      <c r="D59" s="43">
        <v>96.610000000097614</v>
      </c>
      <c r="E59" s="43">
        <v>97.989119922152554</v>
      </c>
      <c r="F59" s="43">
        <v>101.33475464941195</v>
      </c>
      <c r="G59" s="43">
        <v>100.50115882766306</v>
      </c>
      <c r="H59" s="43">
        <v>100.68596675178107</v>
      </c>
      <c r="I59" s="43">
        <v>101.53067859932125</v>
      </c>
      <c r="J59" s="43">
        <v>100.34428882396742</v>
      </c>
      <c r="K59" s="43">
        <v>83.475486669702917</v>
      </c>
      <c r="L59" s="43">
        <v>100.52908261310843</v>
      </c>
      <c r="M59" s="43">
        <v>100.51708172774023</v>
      </c>
    </row>
    <row r="60" spans="1:13" x14ac:dyDescent="0.35">
      <c r="A60" s="64"/>
      <c r="B60" s="64"/>
      <c r="C60" s="2" t="s">
        <v>11</v>
      </c>
      <c r="D60" s="33">
        <v>91.737108705312693</v>
      </c>
      <c r="E60" s="31">
        <v>88.599182099999993</v>
      </c>
      <c r="F60" s="33">
        <v>99.261166900000006</v>
      </c>
      <c r="G60" s="33">
        <v>99.956076600000003</v>
      </c>
      <c r="H60" s="33">
        <v>97.730540700000006</v>
      </c>
      <c r="I60" s="33">
        <v>98.9459746</v>
      </c>
      <c r="J60" s="33">
        <v>97.550583102276704</v>
      </c>
      <c r="K60" s="31">
        <v>68.964616899999996</v>
      </c>
      <c r="L60" s="33">
        <v>99.928329904757106</v>
      </c>
      <c r="M60" s="60">
        <v>100.908889</v>
      </c>
    </row>
    <row r="61" spans="1:13" x14ac:dyDescent="0.35">
      <c r="A61" s="65"/>
      <c r="B61" s="65"/>
      <c r="C61" s="2" t="s">
        <v>14</v>
      </c>
      <c r="D61" s="54">
        <f>D59*0.93</f>
        <v>89.847300000090783</v>
      </c>
      <c r="E61" s="53">
        <f>E59*0.93</f>
        <v>91.129881527601881</v>
      </c>
      <c r="F61" s="54">
        <f t="shared" ref="F61:M61" si="4">F59*0.93</f>
        <v>94.241321823953115</v>
      </c>
      <c r="G61" s="54">
        <f t="shared" si="4"/>
        <v>93.466077709726648</v>
      </c>
      <c r="H61" s="54">
        <f t="shared" si="4"/>
        <v>93.6379490791564</v>
      </c>
      <c r="I61" s="54">
        <f t="shared" si="4"/>
        <v>94.423531097368766</v>
      </c>
      <c r="J61" s="54">
        <f t="shared" si="4"/>
        <v>93.320188606289705</v>
      </c>
      <c r="K61" s="53">
        <f t="shared" si="4"/>
        <v>77.63220260282371</v>
      </c>
      <c r="L61" s="54">
        <f t="shared" si="4"/>
        <v>93.492046830190844</v>
      </c>
      <c r="M61" s="52">
        <f t="shared" si="4"/>
        <v>93.480886006798428</v>
      </c>
    </row>
    <row r="62" spans="1:13" x14ac:dyDescent="0.35">
      <c r="A62" s="71">
        <v>7.0000000000000007E-2</v>
      </c>
      <c r="B62" s="72" t="s">
        <v>41</v>
      </c>
      <c r="C62" s="2" t="s">
        <v>10</v>
      </c>
      <c r="D62" s="43">
        <v>6.8438165819999996</v>
      </c>
      <c r="E62" s="43">
        <v>4.9789363289999997</v>
      </c>
      <c r="F62" s="43">
        <v>4.1621219700000003</v>
      </c>
      <c r="G62" s="43">
        <v>3.6641612659999998</v>
      </c>
      <c r="H62" s="43">
        <v>13.171437563</v>
      </c>
      <c r="I62" s="43">
        <v>7.4627813170000001</v>
      </c>
      <c r="J62" s="43">
        <v>6.803359532</v>
      </c>
      <c r="K62" s="43">
        <v>9.5465574679999996</v>
      </c>
      <c r="L62" s="43">
        <v>5.752240026</v>
      </c>
      <c r="M62" s="43">
        <v>3.3594676739999998</v>
      </c>
    </row>
    <row r="63" spans="1:13" x14ac:dyDescent="0.35">
      <c r="A63" s="71"/>
      <c r="B63" s="73"/>
      <c r="C63" s="2" t="s">
        <v>11</v>
      </c>
      <c r="D63" s="60">
        <v>5.4301948339999999</v>
      </c>
      <c r="E63" s="60">
        <v>3.9531471360000001</v>
      </c>
      <c r="F63" s="60">
        <v>4.0519174009999999</v>
      </c>
      <c r="G63" s="60">
        <v>3.3625990899999998</v>
      </c>
      <c r="H63" s="60">
        <v>8.8459497519999992</v>
      </c>
      <c r="I63" s="60">
        <v>6.2546359469999997</v>
      </c>
      <c r="J63" s="43">
        <v>7.1415372609999999</v>
      </c>
      <c r="K63" s="60">
        <v>7.9416621220000003</v>
      </c>
      <c r="L63" s="60">
        <v>3.507773201</v>
      </c>
      <c r="M63" s="60">
        <v>2.6514681269999998</v>
      </c>
    </row>
    <row r="64" spans="1:13" ht="15" thickBot="1" x14ac:dyDescent="0.4">
      <c r="A64" s="71"/>
      <c r="B64" s="68"/>
      <c r="C64" s="2" t="s">
        <v>14</v>
      </c>
      <c r="D64" s="43"/>
      <c r="E64" s="43"/>
      <c r="F64" s="30"/>
      <c r="G64" s="43"/>
      <c r="H64" s="43"/>
      <c r="I64" s="43"/>
      <c r="J64" s="32">
        <f>J62*1.07</f>
        <v>7.2795946992400005</v>
      </c>
      <c r="K64" s="30"/>
      <c r="L64" s="43"/>
      <c r="M64" s="30"/>
    </row>
    <row r="65" spans="1:14" x14ac:dyDescent="0.35">
      <c r="A65" s="63">
        <v>-0.05</v>
      </c>
      <c r="B65" s="66" t="s">
        <v>37</v>
      </c>
      <c r="C65" s="2" t="s">
        <v>10</v>
      </c>
      <c r="D65" s="3">
        <v>86.375</v>
      </c>
      <c r="E65" s="3">
        <v>86.375</v>
      </c>
      <c r="F65" s="3">
        <v>86.375</v>
      </c>
      <c r="G65" s="3">
        <v>86.375</v>
      </c>
      <c r="H65" s="3">
        <v>86.375</v>
      </c>
      <c r="I65" s="3">
        <v>86.375</v>
      </c>
      <c r="J65" s="3">
        <v>86.375</v>
      </c>
      <c r="K65" s="3">
        <v>86.375</v>
      </c>
      <c r="L65" s="3">
        <v>86.375</v>
      </c>
      <c r="M65" s="3">
        <v>86.375</v>
      </c>
    </row>
    <row r="66" spans="1:14" x14ac:dyDescent="0.35">
      <c r="A66" s="64"/>
      <c r="B66" s="64"/>
      <c r="C66" s="2" t="s">
        <v>11</v>
      </c>
      <c r="D66" s="4">
        <v>84.23</v>
      </c>
      <c r="E66" s="4">
        <v>85.563000000000002</v>
      </c>
      <c r="F66" s="4">
        <v>85.084999999999994</v>
      </c>
      <c r="G66" s="4">
        <v>85.174999999999997</v>
      </c>
      <c r="H66" s="4">
        <v>84.091999999999999</v>
      </c>
      <c r="I66" s="4">
        <v>83.328000000000003</v>
      </c>
      <c r="J66" s="4">
        <v>85.4</v>
      </c>
      <c r="K66" s="4">
        <v>82.584000000000003</v>
      </c>
      <c r="L66" s="4">
        <v>82.897999999999996</v>
      </c>
      <c r="M66" s="4">
        <v>85.004000000000005</v>
      </c>
      <c r="N66" s="42"/>
    </row>
    <row r="67" spans="1:14" x14ac:dyDescent="0.35">
      <c r="A67" s="65"/>
      <c r="B67" s="65"/>
      <c r="C67" s="2" t="s">
        <v>14</v>
      </c>
      <c r="D67" s="54">
        <f>D65*0.95</f>
        <v>82.056249999999991</v>
      </c>
      <c r="E67" s="54">
        <f t="shared" ref="E67:M67" si="5">E65*0.95</f>
        <v>82.056249999999991</v>
      </c>
      <c r="F67" s="54">
        <f t="shared" si="5"/>
        <v>82.056249999999991</v>
      </c>
      <c r="G67" s="54">
        <f t="shared" si="5"/>
        <v>82.056249999999991</v>
      </c>
      <c r="H67" s="54">
        <f t="shared" si="5"/>
        <v>82.056249999999991</v>
      </c>
      <c r="I67" s="54">
        <f t="shared" si="5"/>
        <v>82.056249999999991</v>
      </c>
      <c r="J67" s="54">
        <f t="shared" si="5"/>
        <v>82.056249999999991</v>
      </c>
      <c r="K67" s="54">
        <f t="shared" si="5"/>
        <v>82.056249999999991</v>
      </c>
      <c r="L67" s="54">
        <f t="shared" si="5"/>
        <v>82.056249999999991</v>
      </c>
      <c r="M67" s="54">
        <f t="shared" si="5"/>
        <v>82.056249999999991</v>
      </c>
    </row>
  </sheetData>
  <mergeCells count="38">
    <mergeCell ref="A62:A64"/>
    <mergeCell ref="B62:B64"/>
    <mergeCell ref="A65:A67"/>
    <mergeCell ref="B65:B67"/>
    <mergeCell ref="A51:A53"/>
    <mergeCell ref="B51:B53"/>
    <mergeCell ref="A55:A57"/>
    <mergeCell ref="B55:B57"/>
    <mergeCell ref="A59:A61"/>
    <mergeCell ref="B59:B61"/>
    <mergeCell ref="A41:A43"/>
    <mergeCell ref="B41:B43"/>
    <mergeCell ref="A44:A46"/>
    <mergeCell ref="B44:B46"/>
    <mergeCell ref="A48:A50"/>
    <mergeCell ref="B48:B50"/>
    <mergeCell ref="A32:A33"/>
    <mergeCell ref="B32:B33"/>
    <mergeCell ref="A34:A35"/>
    <mergeCell ref="B34:B35"/>
    <mergeCell ref="A37:A39"/>
    <mergeCell ref="B37:B39"/>
    <mergeCell ref="A22:A23"/>
    <mergeCell ref="B22:B23"/>
    <mergeCell ref="A25:A26"/>
    <mergeCell ref="B25:B26"/>
    <mergeCell ref="A28:A29"/>
    <mergeCell ref="B28:B29"/>
    <mergeCell ref="A9:A10"/>
    <mergeCell ref="B9:B10"/>
    <mergeCell ref="A14:A16"/>
    <mergeCell ref="B14:B16"/>
    <mergeCell ref="A18:A20"/>
    <mergeCell ref="B18:B20"/>
    <mergeCell ref="A3:A4"/>
    <mergeCell ref="B3:B4"/>
    <mergeCell ref="A6:A7"/>
    <mergeCell ref="B6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</vt:lpstr>
      <vt:lpstr>febrero</vt:lpstr>
      <vt:lpstr>marzo</vt:lpstr>
      <vt:lpstr>abril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Libreros Torres Maria Jose</cp:lastModifiedBy>
  <cp:lastPrinted>2026-02-16T22:09:36Z</cp:lastPrinted>
  <dcterms:created xsi:type="dcterms:W3CDTF">2024-08-09T15:44:13Z</dcterms:created>
  <dcterms:modified xsi:type="dcterms:W3CDTF">2026-05-14T16:55:29Z</dcterms:modified>
</cp:coreProperties>
</file>